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052C52AE-2DA7-46F0-937B-F965C37E300A}" xr6:coauthVersionLast="47" xr6:coauthVersionMax="47" xr10:uidLastSave="{00000000-0000-0000-0000-000000000000}"/>
  <bookViews>
    <workbookView xWindow="-108" yWindow="-108" windowWidth="23256" windowHeight="12456" xr2:uid="{138DBC7E-F566-4AFD-AAD4-93BEB62A71C5}"/>
  </bookViews>
  <sheets>
    <sheet name="DATOS Y RESPUESTAS" sheetId="2" r:id="rId1"/>
    <sheet name="RESULTADOS" sheetId="1" r:id="rId2"/>
    <sheet name="PERFIL I" sheetId="6" r:id="rId3"/>
    <sheet name="PERFIL II" sheetId="7" r:id="rId4"/>
    <sheet name="REPORTE" sheetId="8" r:id="rId5"/>
    <sheet name="BASE DE DATOS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73" i="1" l="1"/>
  <c r="B42" i="1"/>
  <c r="C42" i="1"/>
  <c r="E42" i="1"/>
  <c r="F42" i="1"/>
  <c r="I42" i="1"/>
  <c r="J42" i="1"/>
  <c r="L42" i="1"/>
  <c r="M42" i="1"/>
  <c r="O42" i="1"/>
  <c r="P42" i="1"/>
  <c r="R42" i="1"/>
  <c r="S42" i="1"/>
  <c r="X42" i="1"/>
  <c r="Y42" i="1"/>
  <c r="B43" i="1"/>
  <c r="C43" i="1"/>
  <c r="E43" i="1"/>
  <c r="F43" i="1"/>
  <c r="I43" i="1"/>
  <c r="J43" i="1"/>
  <c r="L43" i="1"/>
  <c r="M43" i="1"/>
  <c r="O43" i="1"/>
  <c r="P43" i="1"/>
  <c r="R43" i="1"/>
  <c r="S43" i="1"/>
  <c r="X43" i="1"/>
  <c r="Y43" i="1"/>
  <c r="B44" i="1"/>
  <c r="E72" i="1" s="1"/>
  <c r="C44" i="1"/>
  <c r="E44" i="1"/>
  <c r="F44" i="1"/>
  <c r="I44" i="1"/>
  <c r="J44" i="1"/>
  <c r="L44" i="1"/>
  <c r="M44" i="1"/>
  <c r="O44" i="1"/>
  <c r="P44" i="1"/>
  <c r="R44" i="1"/>
  <c r="S44" i="1"/>
  <c r="X44" i="1"/>
  <c r="Y44" i="1"/>
  <c r="B45" i="1"/>
  <c r="C45" i="1"/>
  <c r="E45" i="1"/>
  <c r="F45" i="1"/>
  <c r="I45" i="1"/>
  <c r="J45" i="1"/>
  <c r="L45" i="1"/>
  <c r="M45" i="1"/>
  <c r="O45" i="1"/>
  <c r="P45" i="1"/>
  <c r="R45" i="1"/>
  <c r="S45" i="1"/>
  <c r="X45" i="1"/>
  <c r="Y45" i="1"/>
  <c r="B46" i="1"/>
  <c r="C46" i="1"/>
  <c r="E79" i="1" s="1"/>
  <c r="N80" i="1" s="1"/>
  <c r="E46" i="1"/>
  <c r="F46" i="1"/>
  <c r="I46" i="1"/>
  <c r="J46" i="1"/>
  <c r="L46" i="1"/>
  <c r="M46" i="1"/>
  <c r="O46" i="1"/>
  <c r="P46" i="1"/>
  <c r="R46" i="1"/>
  <c r="S46" i="1"/>
  <c r="X46" i="1"/>
  <c r="Y46" i="1"/>
  <c r="B47" i="1"/>
  <c r="C47" i="1"/>
  <c r="E47" i="1"/>
  <c r="F47" i="1"/>
  <c r="I47" i="1"/>
  <c r="J47" i="1"/>
  <c r="L47" i="1"/>
  <c r="M47" i="1"/>
  <c r="O47" i="1"/>
  <c r="P47" i="1"/>
  <c r="R47" i="1"/>
  <c r="S47" i="1"/>
  <c r="X47" i="1"/>
  <c r="Y47" i="1"/>
  <c r="B48" i="1"/>
  <c r="C48" i="1"/>
  <c r="E48" i="1"/>
  <c r="F48" i="1"/>
  <c r="I48" i="1"/>
  <c r="J48" i="1"/>
  <c r="L48" i="1"/>
  <c r="M48" i="1"/>
  <c r="O48" i="1"/>
  <c r="P48" i="1"/>
  <c r="R48" i="1"/>
  <c r="S48" i="1"/>
  <c r="X48" i="1"/>
  <c r="Y48" i="1"/>
  <c r="B49" i="1"/>
  <c r="C49" i="1"/>
  <c r="E49" i="1"/>
  <c r="F49" i="1"/>
  <c r="I49" i="1"/>
  <c r="J49" i="1"/>
  <c r="L49" i="1"/>
  <c r="M49" i="1"/>
  <c r="O49" i="1"/>
  <c r="P49" i="1"/>
  <c r="R49" i="1"/>
  <c r="S49" i="1"/>
  <c r="X49" i="1"/>
  <c r="Y49" i="1"/>
  <c r="B50" i="1"/>
  <c r="C50" i="1"/>
  <c r="E50" i="1"/>
  <c r="F50" i="1"/>
  <c r="I50" i="1"/>
  <c r="J50" i="1"/>
  <c r="L50" i="1"/>
  <c r="M50" i="1"/>
  <c r="O50" i="1"/>
  <c r="P50" i="1"/>
  <c r="R50" i="1"/>
  <c r="S50" i="1"/>
  <c r="X50" i="1"/>
  <c r="Y50" i="1"/>
  <c r="B51" i="1"/>
  <c r="C51" i="1"/>
  <c r="E51" i="1"/>
  <c r="F51" i="1"/>
  <c r="I51" i="1"/>
  <c r="J51" i="1"/>
  <c r="L51" i="1"/>
  <c r="M51" i="1"/>
  <c r="O51" i="1"/>
  <c r="P51" i="1"/>
  <c r="R51" i="1"/>
  <c r="S51" i="1"/>
  <c r="X51" i="1"/>
  <c r="Y51" i="1"/>
  <c r="B52" i="1"/>
  <c r="C52" i="1"/>
  <c r="E52" i="1"/>
  <c r="F52" i="1"/>
  <c r="I52" i="1"/>
  <c r="J52" i="1"/>
  <c r="L52" i="1"/>
  <c r="M52" i="1"/>
  <c r="O52" i="1"/>
  <c r="P52" i="1"/>
  <c r="R52" i="1"/>
  <c r="S52" i="1"/>
  <c r="B53" i="1"/>
  <c r="C53" i="1"/>
  <c r="E53" i="1"/>
  <c r="F53" i="1"/>
  <c r="I53" i="1"/>
  <c r="J53" i="1"/>
  <c r="L53" i="1"/>
  <c r="M53" i="1"/>
  <c r="O53" i="1"/>
  <c r="P53" i="1"/>
  <c r="R53" i="1"/>
  <c r="S53" i="1"/>
  <c r="B54" i="1"/>
  <c r="C54" i="1"/>
  <c r="E54" i="1"/>
  <c r="F54" i="1"/>
  <c r="I54" i="1"/>
  <c r="J54" i="1"/>
  <c r="L54" i="1"/>
  <c r="M54" i="1"/>
  <c r="O54" i="1"/>
  <c r="P54" i="1"/>
  <c r="R54" i="1"/>
  <c r="S54" i="1"/>
  <c r="B55" i="1"/>
  <c r="C55" i="1"/>
  <c r="E55" i="1"/>
  <c r="F55" i="1"/>
  <c r="I55" i="1"/>
  <c r="J55" i="1"/>
  <c r="L55" i="1"/>
  <c r="M55" i="1"/>
  <c r="O55" i="1"/>
  <c r="P55" i="1"/>
  <c r="R55" i="1"/>
  <c r="S55" i="1"/>
  <c r="B56" i="1"/>
  <c r="C56" i="1"/>
  <c r="E56" i="1"/>
  <c r="F56" i="1"/>
  <c r="I56" i="1"/>
  <c r="J56" i="1"/>
  <c r="L56" i="1"/>
  <c r="M56" i="1"/>
  <c r="O56" i="1"/>
  <c r="F72" i="1" s="1"/>
  <c r="P56" i="1"/>
  <c r="R56" i="1"/>
  <c r="S56" i="1"/>
  <c r="B57" i="1"/>
  <c r="C57" i="1"/>
  <c r="E57" i="1"/>
  <c r="F57" i="1"/>
  <c r="I57" i="1"/>
  <c r="J57" i="1"/>
  <c r="L57" i="1"/>
  <c r="M57" i="1"/>
  <c r="O57" i="1"/>
  <c r="P57" i="1"/>
  <c r="R57" i="1"/>
  <c r="S57" i="1"/>
  <c r="B58" i="1"/>
  <c r="C58" i="1"/>
  <c r="E58" i="1"/>
  <c r="F58" i="1"/>
  <c r="I58" i="1"/>
  <c r="J58" i="1"/>
  <c r="L58" i="1"/>
  <c r="M58" i="1"/>
  <c r="O58" i="1"/>
  <c r="P58" i="1"/>
  <c r="R58" i="1"/>
  <c r="S58" i="1"/>
  <c r="B59" i="1"/>
  <c r="C59" i="1"/>
  <c r="E59" i="1"/>
  <c r="F59" i="1"/>
  <c r="I59" i="1"/>
  <c r="J59" i="1"/>
  <c r="L59" i="1"/>
  <c r="M59" i="1"/>
  <c r="O59" i="1"/>
  <c r="P59" i="1"/>
  <c r="R59" i="1"/>
  <c r="S59" i="1"/>
  <c r="B60" i="1"/>
  <c r="C60" i="1"/>
  <c r="E75" i="1" s="1"/>
  <c r="N76" i="1" s="1"/>
  <c r="E60" i="1"/>
  <c r="F60" i="1"/>
  <c r="I60" i="1"/>
  <c r="J60" i="1"/>
  <c r="L60" i="1"/>
  <c r="M60" i="1"/>
  <c r="O60" i="1"/>
  <c r="P60" i="1"/>
  <c r="R60" i="1"/>
  <c r="S60" i="1"/>
  <c r="B61" i="1"/>
  <c r="C61" i="1"/>
  <c r="E89" i="1" s="1"/>
  <c r="N90" i="1" s="1"/>
  <c r="E61" i="1"/>
  <c r="F61" i="1"/>
  <c r="I61" i="1"/>
  <c r="J61" i="1"/>
  <c r="L61" i="1"/>
  <c r="M61" i="1"/>
  <c r="O61" i="1"/>
  <c r="P61" i="1"/>
  <c r="R61" i="1"/>
  <c r="S61" i="1"/>
  <c r="B62" i="1"/>
  <c r="C62" i="1"/>
  <c r="E62" i="1"/>
  <c r="F62" i="1"/>
  <c r="I62" i="1"/>
  <c r="J62" i="1"/>
  <c r="L62" i="1"/>
  <c r="M62" i="1"/>
  <c r="O62" i="1"/>
  <c r="E83" i="1" s="1"/>
  <c r="N84" i="1" s="1"/>
  <c r="P62" i="1"/>
  <c r="R62" i="1"/>
  <c r="S62" i="1"/>
  <c r="B63" i="1"/>
  <c r="C63" i="1"/>
  <c r="E63" i="1"/>
  <c r="F63" i="1"/>
  <c r="I63" i="1"/>
  <c r="J63" i="1"/>
  <c r="L63" i="1"/>
  <c r="M63" i="1"/>
  <c r="O63" i="1"/>
  <c r="P63" i="1"/>
  <c r="R63" i="1"/>
  <c r="S63" i="1"/>
  <c r="B64" i="1"/>
  <c r="C64" i="1"/>
  <c r="E64" i="1"/>
  <c r="F64" i="1"/>
  <c r="I64" i="1"/>
  <c r="J64" i="1"/>
  <c r="L64" i="1"/>
  <c r="M64" i="1"/>
  <c r="O64" i="1"/>
  <c r="P64" i="1"/>
  <c r="R64" i="1"/>
  <c r="S64" i="1"/>
  <c r="B65" i="1"/>
  <c r="C65" i="1"/>
  <c r="E65" i="1"/>
  <c r="F65" i="1"/>
  <c r="I65" i="1"/>
  <c r="J65" i="1"/>
  <c r="L65" i="1"/>
  <c r="M65" i="1"/>
  <c r="O65" i="1"/>
  <c r="P65" i="1"/>
  <c r="R65" i="1"/>
  <c r="S65" i="1"/>
  <c r="B66" i="1"/>
  <c r="E71" i="1" s="1"/>
  <c r="N72" i="1" s="1"/>
  <c r="C66" i="1"/>
  <c r="E66" i="1"/>
  <c r="F66" i="1"/>
  <c r="I66" i="1"/>
  <c r="J66" i="1"/>
  <c r="L66" i="1"/>
  <c r="M66" i="1"/>
  <c r="O66" i="1"/>
  <c r="P66" i="1"/>
  <c r="R66" i="1"/>
  <c r="S66" i="1"/>
  <c r="HH69" i="1"/>
  <c r="HI69" i="1"/>
  <c r="E70" i="1"/>
  <c r="N71" i="1" s="1"/>
  <c r="HH70" i="1"/>
  <c r="HI70" i="1"/>
  <c r="HH71" i="1"/>
  <c r="HI71" i="1"/>
  <c r="HH72" i="1"/>
  <c r="HI72" i="1"/>
  <c r="E73" i="1"/>
  <c r="N74" i="1" s="1"/>
  <c r="HH73" i="1"/>
  <c r="HI73" i="1"/>
  <c r="E74" i="1"/>
  <c r="N75" i="1" s="1"/>
  <c r="HD74" i="1"/>
  <c r="BG77" i="1" s="1"/>
  <c r="HH74" i="1"/>
  <c r="HI74" i="1"/>
  <c r="F75" i="1"/>
  <c r="HD75" i="1"/>
  <c r="BG76" i="1" s="1"/>
  <c r="HH75" i="1"/>
  <c r="HI75" i="1"/>
  <c r="E76" i="1"/>
  <c r="F76" i="1"/>
  <c r="N77" i="1" s="1"/>
  <c r="HD76" i="1"/>
  <c r="F77" i="1"/>
  <c r="H77" i="1"/>
  <c r="HD77" i="1"/>
  <c r="E78" i="1"/>
  <c r="N79" i="1" s="1"/>
  <c r="F78" i="1"/>
  <c r="HD78" i="1"/>
  <c r="HD79" i="1"/>
  <c r="BD77" i="1" s="1"/>
  <c r="E80" i="1"/>
  <c r="F80" i="1"/>
  <c r="HD80" i="1"/>
  <c r="E81" i="1"/>
  <c r="N82" i="1" s="1"/>
  <c r="F81" i="1"/>
  <c r="N81" i="1"/>
  <c r="FN110" i="1" s="1"/>
  <c r="HD81" i="1"/>
  <c r="BD76" i="1" s="1"/>
  <c r="E82" i="1"/>
  <c r="N83" i="1" s="1"/>
  <c r="F82" i="1"/>
  <c r="HD82" i="1"/>
  <c r="HD83" i="1"/>
  <c r="E84" i="1"/>
  <c r="N85" i="1" s="1"/>
  <c r="HD84" i="1"/>
  <c r="E85" i="1"/>
  <c r="N86" i="1" s="1"/>
  <c r="F85" i="1"/>
  <c r="E86" i="1"/>
  <c r="N87" i="1" s="1"/>
  <c r="E87" i="1"/>
  <c r="N88" i="1" s="1"/>
  <c r="F87" i="1"/>
  <c r="E88" i="1"/>
  <c r="N89" i="1" s="1"/>
  <c r="F89" i="1"/>
  <c r="E90" i="1"/>
  <c r="E91" i="1"/>
  <c r="N91" i="1"/>
  <c r="FX111" i="1" s="1"/>
  <c r="E92" i="1"/>
  <c r="N92" i="1"/>
  <c r="FY112" i="1" s="1"/>
  <c r="E93" i="1"/>
  <c r="N94" i="1" s="1"/>
  <c r="N93" i="1"/>
  <c r="FZ110" i="1" s="1"/>
  <c r="E94" i="1"/>
  <c r="N95" i="1" s="1"/>
  <c r="F94" i="1"/>
  <c r="E95" i="1"/>
  <c r="E96" i="1"/>
  <c r="N97" i="1" s="1"/>
  <c r="F96" i="1"/>
  <c r="N96" i="1"/>
  <c r="GC112" i="1" s="1"/>
  <c r="E97" i="1"/>
  <c r="N98" i="1" s="1"/>
  <c r="E98" i="1"/>
  <c r="N99" i="1"/>
  <c r="GF109" i="1" s="1"/>
  <c r="I101" i="1"/>
  <c r="N102" i="1" s="1"/>
  <c r="I102" i="1"/>
  <c r="FY109" i="1"/>
  <c r="FY110" i="1"/>
  <c r="GC110" i="1"/>
  <c r="FN111" i="1"/>
  <c r="FY111" i="1"/>
  <c r="FZ111" i="1"/>
  <c r="GC111" i="1"/>
  <c r="GF111" i="1"/>
  <c r="GF112" i="1"/>
  <c r="A6" i="8"/>
  <c r="B6" i="8"/>
  <c r="C6" i="8"/>
  <c r="D6" i="8"/>
  <c r="A7" i="8"/>
  <c r="B7" i="8"/>
  <c r="C7" i="8"/>
  <c r="D7" i="8"/>
  <c r="A8" i="8"/>
  <c r="B8" i="8"/>
  <c r="C8" i="8"/>
  <c r="D8" i="8"/>
  <c r="A9" i="8"/>
  <c r="B9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D1" i="3"/>
  <c r="AE1" i="3"/>
  <c r="AF1" i="3"/>
  <c r="A2" i="3"/>
  <c r="B2" i="3"/>
  <c r="Y2" i="3"/>
  <c r="AC2" i="3"/>
  <c r="AF2" i="3"/>
  <c r="GE112" i="1" l="1"/>
  <c r="AE2" i="3"/>
  <c r="GE110" i="1"/>
  <c r="GE111" i="1"/>
  <c r="GE109" i="1"/>
  <c r="GA112" i="1"/>
  <c r="GA110" i="1"/>
  <c r="AA2" i="3"/>
  <c r="GA111" i="1"/>
  <c r="GA109" i="1"/>
  <c r="FR112" i="1"/>
  <c r="FR110" i="1"/>
  <c r="FR111" i="1"/>
  <c r="R2" i="3"/>
  <c r="FR109" i="1"/>
  <c r="FL111" i="1"/>
  <c r="FL109" i="1"/>
  <c r="FL112" i="1"/>
  <c r="L2" i="3"/>
  <c r="FL110" i="1"/>
  <c r="GG111" i="1"/>
  <c r="GG109" i="1"/>
  <c r="D2" i="3"/>
  <c r="GG112" i="1"/>
  <c r="GG110" i="1"/>
  <c r="FW111" i="1"/>
  <c r="FW109" i="1"/>
  <c r="FW112" i="1"/>
  <c r="FW110" i="1"/>
  <c r="W2" i="3"/>
  <c r="FI111" i="1"/>
  <c r="FI109" i="1"/>
  <c r="FI112" i="1"/>
  <c r="FI110" i="1"/>
  <c r="I2" i="3"/>
  <c r="M2" i="3"/>
  <c r="FM109" i="1"/>
  <c r="FM111" i="1"/>
  <c r="FM112" i="1"/>
  <c r="FM110" i="1"/>
  <c r="FH109" i="1"/>
  <c r="FH112" i="1"/>
  <c r="FH110" i="1"/>
  <c r="H2" i="3"/>
  <c r="FH111" i="1"/>
  <c r="GH111" i="1"/>
  <c r="E2" i="3"/>
  <c r="GH109" i="1"/>
  <c r="GH110" i="1"/>
  <c r="GH112" i="1"/>
  <c r="FP112" i="1"/>
  <c r="FP110" i="1"/>
  <c r="P2" i="3"/>
  <c r="FP109" i="1"/>
  <c r="FP111" i="1"/>
  <c r="GD112" i="1"/>
  <c r="GD110" i="1"/>
  <c r="AD2" i="3"/>
  <c r="GD111" i="1"/>
  <c r="GD109" i="1"/>
  <c r="FV111" i="1"/>
  <c r="FV109" i="1"/>
  <c r="FV110" i="1"/>
  <c r="FV112" i="1"/>
  <c r="V2" i="3"/>
  <c r="FU111" i="1"/>
  <c r="FU109" i="1"/>
  <c r="FU112" i="1"/>
  <c r="FU110" i="1"/>
  <c r="U2" i="3"/>
  <c r="FG112" i="1"/>
  <c r="FG110" i="1"/>
  <c r="G2" i="3"/>
  <c r="FG111" i="1"/>
  <c r="FG109" i="1"/>
  <c r="GB112" i="1"/>
  <c r="AB2" i="3"/>
  <c r="GB110" i="1"/>
  <c r="GB109" i="1"/>
  <c r="GB111" i="1"/>
  <c r="FT109" i="1"/>
  <c r="FT112" i="1"/>
  <c r="FT110" i="1"/>
  <c r="T2" i="3"/>
  <c r="FT111" i="1"/>
  <c r="FO112" i="1"/>
  <c r="FO110" i="1"/>
  <c r="O2" i="3"/>
  <c r="FO111" i="1"/>
  <c r="FO109" i="1"/>
  <c r="FJ111" i="1"/>
  <c r="FJ109" i="1"/>
  <c r="FJ110" i="1"/>
  <c r="FJ112" i="1"/>
  <c r="J2" i="3"/>
  <c r="FQ112" i="1"/>
  <c r="Q2" i="3"/>
  <c r="FQ110" i="1"/>
  <c r="FQ111" i="1"/>
  <c r="FQ109" i="1"/>
  <c r="N73" i="1"/>
  <c r="FS112" i="1"/>
  <c r="FS110" i="1"/>
  <c r="S2" i="3"/>
  <c r="FS109" i="1"/>
  <c r="FS111" i="1"/>
  <c r="FX110" i="1"/>
  <c r="E77" i="1"/>
  <c r="N78" i="1" s="1"/>
  <c r="X2" i="3"/>
  <c r="FZ112" i="1"/>
  <c r="FN112" i="1"/>
  <c r="FX112" i="1"/>
  <c r="GC109" i="1"/>
  <c r="N101" i="1"/>
  <c r="O104" i="1" s="1"/>
  <c r="GF110" i="1"/>
  <c r="FZ109" i="1"/>
  <c r="FN109" i="1"/>
  <c r="BG78" i="1"/>
  <c r="BG79" i="1" s="1"/>
  <c r="BE82" i="1" s="1"/>
  <c r="BD78" i="1"/>
  <c r="BD79" i="1" s="1"/>
  <c r="BE81" i="1" s="1"/>
  <c r="BE83" i="1" s="1"/>
  <c r="FX109" i="1"/>
  <c r="N103" i="1"/>
  <c r="Z2" i="3"/>
  <c r="N2" i="3"/>
  <c r="O102" i="1"/>
  <c r="N70" i="1" l="1"/>
  <c r="FF112" i="1"/>
  <c r="FF110" i="1"/>
  <c r="F2" i="3"/>
  <c r="FF111" i="1"/>
  <c r="FF109" i="1"/>
  <c r="O83" i="1"/>
  <c r="O96" i="1"/>
  <c r="Q96" i="1" s="1"/>
  <c r="O73" i="1"/>
  <c r="O89" i="1"/>
  <c r="Q89" i="1" s="1"/>
  <c r="O97" i="1"/>
  <c r="Q97" i="1" s="1"/>
  <c r="O77" i="1"/>
  <c r="O92" i="1"/>
  <c r="Q92" i="1" s="1"/>
  <c r="O99" i="1"/>
  <c r="Q99" i="1" s="1"/>
  <c r="O74" i="1"/>
  <c r="O86" i="1"/>
  <c r="Q86" i="1" s="1"/>
  <c r="O90" i="1"/>
  <c r="Q90" i="1" s="1"/>
  <c r="AF90" i="1" s="1"/>
  <c r="O80" i="1"/>
  <c r="O72" i="1"/>
  <c r="AU72" i="1" s="1"/>
  <c r="O81" i="1"/>
  <c r="O84" i="1"/>
  <c r="O91" i="1"/>
  <c r="Q91" i="1" s="1"/>
  <c r="O93" i="1"/>
  <c r="Q93" i="1" s="1"/>
  <c r="O76" i="1"/>
  <c r="O78" i="1"/>
  <c r="O87" i="1"/>
  <c r="Q87" i="1" s="1"/>
  <c r="O98" i="1"/>
  <c r="Q98" i="1" s="1"/>
  <c r="O71" i="1"/>
  <c r="O82" i="1"/>
  <c r="O79" i="1"/>
  <c r="O88" i="1"/>
  <c r="Q88" i="1" s="1"/>
  <c r="O94" i="1"/>
  <c r="Q94" i="1" s="1"/>
  <c r="O75" i="1"/>
  <c r="O85" i="1"/>
  <c r="Q85" i="1" s="1"/>
  <c r="O95" i="1"/>
  <c r="Q95" i="1" s="1"/>
  <c r="FK111" i="1"/>
  <c r="FK109" i="1"/>
  <c r="FK112" i="1"/>
  <c r="FK110" i="1"/>
  <c r="K2" i="3"/>
  <c r="Q102" i="1" l="1"/>
  <c r="Q79" i="1" s="1"/>
  <c r="C2" i="3"/>
  <c r="O70" i="1"/>
  <c r="AU70" i="1" s="1"/>
  <c r="J68" i="1"/>
  <c r="K68" i="1"/>
  <c r="AF95" i="1"/>
  <c r="AL95" i="1"/>
  <c r="AO95" i="1" s="1"/>
  <c r="AT95" i="1" s="1"/>
  <c r="AU95" i="1" s="1"/>
  <c r="GN71" i="1"/>
  <c r="AF94" i="1"/>
  <c r="AL94" i="1"/>
  <c r="AO94" i="1" s="1"/>
  <c r="AT94" i="1" s="1"/>
  <c r="AU94" i="1" s="1"/>
  <c r="AF96" i="1"/>
  <c r="AL96" i="1"/>
  <c r="AO96" i="1" s="1"/>
  <c r="AT96" i="1" s="1"/>
  <c r="AU96" i="1" s="1"/>
  <c r="N110" i="1"/>
  <c r="C20" i="8"/>
  <c r="AH90" i="1"/>
  <c r="AJ90" i="1" s="1"/>
  <c r="BE96" i="1" s="1"/>
  <c r="AI90" i="1"/>
  <c r="AL90" i="1"/>
  <c r="AO90" i="1" s="1"/>
  <c r="AT90" i="1" s="1"/>
  <c r="AU90" i="1" s="1"/>
  <c r="AU71" i="1"/>
  <c r="GN79" i="1"/>
  <c r="GN72" i="1"/>
  <c r="S79" i="1" l="1"/>
  <c r="U79" i="1"/>
  <c r="V79" i="1"/>
  <c r="N131" i="1"/>
  <c r="AV90" i="1"/>
  <c r="D39" i="8" s="1"/>
  <c r="C39" i="8"/>
  <c r="GM75" i="1"/>
  <c r="GM74" i="1"/>
  <c r="GN76" i="1" s="1"/>
  <c r="GM77" i="1" s="1"/>
  <c r="GM76" i="1"/>
  <c r="GO72" i="1"/>
  <c r="Q77" i="1"/>
  <c r="Q73" i="1"/>
  <c r="Q78" i="1"/>
  <c r="Q83" i="1"/>
  <c r="Q75" i="1"/>
  <c r="Q74" i="1"/>
  <c r="Q80" i="1"/>
  <c r="AV94" i="1"/>
  <c r="D43" i="8" s="1"/>
  <c r="C43" i="8"/>
  <c r="N136" i="1"/>
  <c r="Q84" i="1"/>
  <c r="Q81" i="1"/>
  <c r="L68" i="1"/>
  <c r="O101" i="1" s="1"/>
  <c r="I100" i="1" s="1"/>
  <c r="B16" i="8" s="1"/>
  <c r="C19" i="8"/>
  <c r="N109" i="1"/>
  <c r="Q82" i="1"/>
  <c r="Q76" i="1"/>
  <c r="C18" i="8"/>
  <c r="N108" i="1"/>
  <c r="GN82" i="1"/>
  <c r="GO79" i="1"/>
  <c r="GN83" i="1" s="1"/>
  <c r="N138" i="1"/>
  <c r="AV96" i="1"/>
  <c r="D45" i="8" s="1"/>
  <c r="C45" i="8"/>
  <c r="C44" i="8"/>
  <c r="AV95" i="1"/>
  <c r="D44" i="8" s="1"/>
  <c r="N137" i="1"/>
  <c r="S73" i="1" l="1"/>
  <c r="U73" i="1"/>
  <c r="V73" i="1"/>
  <c r="S77" i="1"/>
  <c r="T77" i="1" s="1"/>
  <c r="BT91" i="1" s="1"/>
  <c r="U77" i="1"/>
  <c r="V77" i="1"/>
  <c r="S81" i="1"/>
  <c r="U81" i="1"/>
  <c r="V81" i="1"/>
  <c r="S84" i="1"/>
  <c r="U84" i="1"/>
  <c r="V84" i="1"/>
  <c r="X84" i="1" s="1"/>
  <c r="AF89" i="1"/>
  <c r="AF86" i="1"/>
  <c r="AF98" i="1"/>
  <c r="AF88" i="1"/>
  <c r="AF87" i="1"/>
  <c r="AF92" i="1"/>
  <c r="AF85" i="1"/>
  <c r="AF99" i="1"/>
  <c r="AF93" i="1"/>
  <c r="AF97" i="1"/>
  <c r="AF91" i="1"/>
  <c r="S80" i="1"/>
  <c r="U80" i="1"/>
  <c r="V80" i="1"/>
  <c r="S74" i="1"/>
  <c r="T74" i="1" s="1"/>
  <c r="BT88" i="1" s="1"/>
  <c r="U74" i="1"/>
  <c r="V74" i="1"/>
  <c r="X74" i="1" s="1"/>
  <c r="V76" i="1"/>
  <c r="S76" i="1"/>
  <c r="U76" i="1"/>
  <c r="S75" i="1"/>
  <c r="U75" i="1"/>
  <c r="V75" i="1"/>
  <c r="X75" i="1" s="1"/>
  <c r="X79" i="1"/>
  <c r="AD79" i="1"/>
  <c r="AU79" i="1" s="1"/>
  <c r="U82" i="1"/>
  <c r="V82" i="1"/>
  <c r="S82" i="1"/>
  <c r="V83" i="1"/>
  <c r="X83" i="1" s="1"/>
  <c r="S83" i="1"/>
  <c r="U83" i="1"/>
  <c r="V78" i="1"/>
  <c r="S78" i="1"/>
  <c r="U78" i="1"/>
  <c r="T79" i="1"/>
  <c r="BT93" i="1" s="1"/>
  <c r="Z84" i="1" l="1"/>
  <c r="AB84" i="1"/>
  <c r="AD84" i="1"/>
  <c r="AU84" i="1" s="1"/>
  <c r="T84" i="1"/>
  <c r="BT98" i="1" s="1"/>
  <c r="X73" i="1"/>
  <c r="AD73" i="1"/>
  <c r="AU73" i="1" s="1"/>
  <c r="X81" i="1"/>
  <c r="AD81" i="1"/>
  <c r="AU81" i="1" s="1"/>
  <c r="X80" i="1"/>
  <c r="AD80" i="1"/>
  <c r="AU80" i="1" s="1"/>
  <c r="N118" i="1"/>
  <c r="C27" i="8"/>
  <c r="AV79" i="1"/>
  <c r="D27" i="8" s="1"/>
  <c r="T73" i="1"/>
  <c r="BT87" i="1" s="1"/>
  <c r="T80" i="1"/>
  <c r="BT94" i="1" s="1"/>
  <c r="Z75" i="1"/>
  <c r="AA75" i="1" s="1"/>
  <c r="BN91" i="1" s="1"/>
  <c r="AB75" i="1"/>
  <c r="AD75" i="1"/>
  <c r="AU75" i="1" s="1"/>
  <c r="T75" i="1"/>
  <c r="BT89" i="1" s="1"/>
  <c r="X78" i="1"/>
  <c r="AD78" i="1"/>
  <c r="AU78" i="1" s="1"/>
  <c r="AH99" i="1"/>
  <c r="AI99" i="1"/>
  <c r="AL99" i="1"/>
  <c r="AO99" i="1" s="1"/>
  <c r="T81" i="1"/>
  <c r="BT95" i="1" s="1"/>
  <c r="X76" i="1"/>
  <c r="AD76" i="1"/>
  <c r="AU76" i="1" s="1"/>
  <c r="AH92" i="1"/>
  <c r="AJ92" i="1" s="1"/>
  <c r="BE98" i="1" s="1"/>
  <c r="AI92" i="1"/>
  <c r="AL92" i="1"/>
  <c r="AO92" i="1" s="1"/>
  <c r="AT92" i="1" s="1"/>
  <c r="AU92" i="1" s="1"/>
  <c r="X77" i="1"/>
  <c r="AD77" i="1"/>
  <c r="AU77" i="1" s="1"/>
  <c r="Z83" i="1"/>
  <c r="AB83" i="1"/>
  <c r="AD83" i="1"/>
  <c r="AU83" i="1" s="1"/>
  <c r="AB74" i="1"/>
  <c r="AD74" i="1"/>
  <c r="AU74" i="1" s="1"/>
  <c r="Z74" i="1"/>
  <c r="AA74" i="1" s="1"/>
  <c r="BN90" i="1" s="1"/>
  <c r="AI87" i="1"/>
  <c r="AL87" i="1"/>
  <c r="AO87" i="1" s="1"/>
  <c r="AT87" i="1" s="1"/>
  <c r="AU87" i="1" s="1"/>
  <c r="AH87" i="1"/>
  <c r="X82" i="1"/>
  <c r="AD82" i="1"/>
  <c r="AU82" i="1" s="1"/>
  <c r="AI98" i="1"/>
  <c r="AL98" i="1"/>
  <c r="AO98" i="1" s="1"/>
  <c r="AH98" i="1"/>
  <c r="AH86" i="1"/>
  <c r="AJ86" i="1" s="1"/>
  <c r="BE92" i="1" s="1"/>
  <c r="AI86" i="1"/>
  <c r="AL86" i="1"/>
  <c r="AO86" i="1" s="1"/>
  <c r="AH89" i="1"/>
  <c r="AI89" i="1"/>
  <c r="AL89" i="1"/>
  <c r="AO89" i="1" s="1"/>
  <c r="AT89" i="1" s="1"/>
  <c r="AU89" i="1" s="1"/>
  <c r="AL91" i="1"/>
  <c r="AO91" i="1" s="1"/>
  <c r="AH91" i="1"/>
  <c r="AI91" i="1"/>
  <c r="AI97" i="1"/>
  <c r="AH97" i="1"/>
  <c r="AL97" i="1"/>
  <c r="AO97" i="1" s="1"/>
  <c r="T78" i="1"/>
  <c r="BT92" i="1" s="1"/>
  <c r="AL93" i="1"/>
  <c r="AO93" i="1" s="1"/>
  <c r="AT93" i="1" s="1"/>
  <c r="AU93" i="1" s="1"/>
  <c r="AH93" i="1"/>
  <c r="AI93" i="1"/>
  <c r="T76" i="1"/>
  <c r="BT90" i="1" s="1"/>
  <c r="AH85" i="1"/>
  <c r="AJ85" i="1" s="1"/>
  <c r="BE91" i="1" s="1"/>
  <c r="AI85" i="1"/>
  <c r="AL85" i="1"/>
  <c r="AO85" i="1" s="1"/>
  <c r="T83" i="1"/>
  <c r="BT97" i="1" s="1"/>
  <c r="T82" i="1"/>
  <c r="BT96" i="1" s="1"/>
  <c r="AH88" i="1"/>
  <c r="AJ88" i="1" s="1"/>
  <c r="BE94" i="1" s="1"/>
  <c r="AI88" i="1"/>
  <c r="AL88" i="1"/>
  <c r="AO88" i="1" s="1"/>
  <c r="AT88" i="1" s="1"/>
  <c r="AU88" i="1" s="1"/>
  <c r="AJ93" i="1" l="1"/>
  <c r="BE99" i="1" s="1"/>
  <c r="AV88" i="1"/>
  <c r="D37" i="8" s="1"/>
  <c r="C37" i="8"/>
  <c r="N129" i="1"/>
  <c r="AV83" i="1"/>
  <c r="D31" i="8" s="1"/>
  <c r="C31" i="8"/>
  <c r="N122" i="1"/>
  <c r="AT97" i="1"/>
  <c r="AU97" i="1" s="1"/>
  <c r="AQ97" i="1"/>
  <c r="AS97" i="1" s="1"/>
  <c r="AZ96" i="1" s="1"/>
  <c r="AR97" i="1"/>
  <c r="AJ98" i="1"/>
  <c r="BE104" i="1" s="1"/>
  <c r="AJ99" i="1"/>
  <c r="BE105" i="1" s="1"/>
  <c r="AV80" i="1"/>
  <c r="D28" i="8" s="1"/>
  <c r="N119" i="1"/>
  <c r="C28" i="8"/>
  <c r="AR86" i="1"/>
  <c r="AT86" i="1"/>
  <c r="AU86" i="1" s="1"/>
  <c r="AQ86" i="1"/>
  <c r="AS86" i="1" s="1"/>
  <c r="AZ92" i="1" s="1"/>
  <c r="N135" i="1"/>
  <c r="AV93" i="1"/>
  <c r="D42" i="8" s="1"/>
  <c r="C42" i="8"/>
  <c r="AJ97" i="1"/>
  <c r="BE103" i="1" s="1"/>
  <c r="AQ98" i="1"/>
  <c r="AR98" i="1"/>
  <c r="AT98" i="1"/>
  <c r="AU98" i="1" s="1"/>
  <c r="AA83" i="1"/>
  <c r="BN99" i="1" s="1"/>
  <c r="N117" i="1"/>
  <c r="C26" i="8"/>
  <c r="AV78" i="1"/>
  <c r="D26" i="8" s="1"/>
  <c r="AJ89" i="1"/>
  <c r="BE95" i="1" s="1"/>
  <c r="AT99" i="1"/>
  <c r="AU99" i="1" s="1"/>
  <c r="AQ99" i="1"/>
  <c r="AS99" i="1" s="1"/>
  <c r="AZ98" i="1" s="1"/>
  <c r="AR99" i="1"/>
  <c r="C25" i="8"/>
  <c r="N116" i="1"/>
  <c r="AV77" i="1"/>
  <c r="D25" i="8" s="1"/>
  <c r="AJ91" i="1"/>
  <c r="BE97" i="1" s="1"/>
  <c r="AV92" i="1"/>
  <c r="D41" i="8" s="1"/>
  <c r="N133" i="1"/>
  <c r="C41" i="8"/>
  <c r="C23" i="8"/>
  <c r="N114" i="1"/>
  <c r="AV75" i="1"/>
  <c r="D23" i="8" s="1"/>
  <c r="N112" i="1"/>
  <c r="C21" i="8"/>
  <c r="D21" i="8"/>
  <c r="AQ91" i="1"/>
  <c r="AR91" i="1"/>
  <c r="AT91" i="1"/>
  <c r="AU91" i="1" s="1"/>
  <c r="AJ87" i="1"/>
  <c r="BE93" i="1" s="1"/>
  <c r="AV76" i="1"/>
  <c r="D24" i="8" s="1"/>
  <c r="C24" i="8"/>
  <c r="N115" i="1"/>
  <c r="N120" i="1"/>
  <c r="AV81" i="1"/>
  <c r="D29" i="8" s="1"/>
  <c r="C29" i="8"/>
  <c r="C30" i="8"/>
  <c r="N121" i="1"/>
  <c r="AV82" i="1"/>
  <c r="D30" i="8" s="1"/>
  <c r="AR85" i="1"/>
  <c r="AQ85" i="1"/>
  <c r="AS85" i="1" s="1"/>
  <c r="AZ91" i="1" s="1"/>
  <c r="AT85" i="1"/>
  <c r="AU85" i="1" s="1"/>
  <c r="N130" i="1"/>
  <c r="C38" i="8"/>
  <c r="AV89" i="1"/>
  <c r="D38" i="8" s="1"/>
  <c r="C36" i="8"/>
  <c r="AV87" i="1"/>
  <c r="D36" i="8" s="1"/>
  <c r="N128" i="1"/>
  <c r="AV84" i="1"/>
  <c r="D32" i="8" s="1"/>
  <c r="N123" i="1"/>
  <c r="C32" i="8"/>
  <c r="C22" i="8"/>
  <c r="AV74" i="1"/>
  <c r="D22" i="8" s="1"/>
  <c r="N113" i="1"/>
  <c r="AA84" i="1"/>
  <c r="BN100" i="1" s="1"/>
  <c r="AS91" i="1" l="1"/>
  <c r="AZ94" i="1" s="1"/>
  <c r="AS98" i="1"/>
  <c r="AZ97" i="1" s="1"/>
  <c r="AV85" i="1"/>
  <c r="D34" i="8" s="1"/>
  <c r="N126" i="1"/>
  <c r="C34" i="8"/>
  <c r="C48" i="8"/>
  <c r="AV99" i="1"/>
  <c r="D48" i="8" s="1"/>
  <c r="N141" i="1"/>
  <c r="N132" i="1"/>
  <c r="C40" i="8"/>
  <c r="AV91" i="1"/>
  <c r="D40" i="8" s="1"/>
  <c r="AV97" i="1"/>
  <c r="D46" i="8" s="1"/>
  <c r="N139" i="1"/>
  <c r="C46" i="8"/>
  <c r="C35" i="8"/>
  <c r="AV86" i="1"/>
  <c r="D35" i="8" s="1"/>
  <c r="N127" i="1"/>
  <c r="C47" i="8"/>
  <c r="N140" i="1"/>
  <c r="AV98" i="1"/>
  <c r="D47" i="8" s="1"/>
</calcChain>
</file>

<file path=xl/sharedStrings.xml><?xml version="1.0" encoding="utf-8"?>
<sst xmlns="http://schemas.openxmlformats.org/spreadsheetml/2006/main" count="568" uniqueCount="147">
  <si>
    <t>INVENTARIO CLÍNICO DE MILLON PARA ADOLESCENTES</t>
  </si>
  <si>
    <t>MACI</t>
  </si>
  <si>
    <t>Nombre:</t>
  </si>
  <si>
    <t xml:space="preserve">NICOLE AIXA </t>
  </si>
  <si>
    <t>Apellidos:</t>
  </si>
  <si>
    <t>CONTRERAS ZURITA</t>
  </si>
  <si>
    <t>Sexo:</t>
  </si>
  <si>
    <t>FEMENINO</t>
  </si>
  <si>
    <t>Edad:</t>
  </si>
  <si>
    <t>Institución:</t>
  </si>
  <si>
    <t>VIDA PLENA</t>
  </si>
  <si>
    <t>Evaluador:</t>
  </si>
  <si>
    <t>GARCIA</t>
  </si>
  <si>
    <t>Fecha:</t>
  </si>
  <si>
    <t>08 de agosto 2025</t>
  </si>
  <si>
    <t>Nº</t>
  </si>
  <si>
    <t>R</t>
  </si>
  <si>
    <t>F</t>
  </si>
  <si>
    <t>V</t>
  </si>
  <si>
    <t>VARONES 13-15</t>
  </si>
  <si>
    <t>VARONES 16-19</t>
  </si>
  <si>
    <t>MUJERES 13-15</t>
  </si>
  <si>
    <t>MUJERES 16-19</t>
  </si>
  <si>
    <t>TB-X</t>
  </si>
  <si>
    <t>AJUSTE TRANSPARENCIA</t>
  </si>
  <si>
    <t>2A</t>
  </si>
  <si>
    <t>2B</t>
  </si>
  <si>
    <t>6A</t>
  </si>
  <si>
    <t>6B</t>
  </si>
  <si>
    <t>8A</t>
  </si>
  <si>
    <t>8B</t>
  </si>
  <si>
    <t>A</t>
  </si>
  <si>
    <t>B</t>
  </si>
  <si>
    <t>C</t>
  </si>
  <si>
    <t>D</t>
  </si>
  <si>
    <t>E</t>
  </si>
  <si>
    <t>G</t>
  </si>
  <si>
    <t>H</t>
  </si>
  <si>
    <t>AA</t>
  </si>
  <si>
    <t>BB</t>
  </si>
  <si>
    <t>CC</t>
  </si>
  <si>
    <t>DD</t>
  </si>
  <si>
    <t>EE</t>
  </si>
  <si>
    <t>FF</t>
  </si>
  <si>
    <t>GG</t>
  </si>
  <si>
    <t>Y</t>
  </si>
  <si>
    <t>Z</t>
  </si>
  <si>
    <t>Desarrollado por:</t>
  </si>
  <si>
    <t>Sergio Dominguez Lara</t>
  </si>
  <si>
    <t>ESCALAS</t>
  </si>
  <si>
    <t>PD</t>
  </si>
  <si>
    <t>TB</t>
  </si>
  <si>
    <t>AJUSTE DE SIGNO</t>
  </si>
  <si>
    <t>AJUSTE TRANSP.</t>
  </si>
  <si>
    <t>AJUSTE A/D</t>
  </si>
  <si>
    <t>AJUSTE D/D</t>
  </si>
  <si>
    <t>AJUSTE D/C</t>
  </si>
  <si>
    <t>TB FINAL</t>
  </si>
  <si>
    <t>INTERPRETACION DE LA ESCALA</t>
  </si>
  <si>
    <t>ESCALA Y</t>
  </si>
  <si>
    <t>X-Transparencia</t>
  </si>
  <si>
    <t>Indicador nulo</t>
  </si>
  <si>
    <t>ESCALA Z</t>
  </si>
  <si>
    <t>Y-Deseabilidad</t>
  </si>
  <si>
    <t>ee</t>
  </si>
  <si>
    <t>ESCALA 1</t>
  </si>
  <si>
    <t>Z-Alteración</t>
  </si>
  <si>
    <t>ff</t>
  </si>
  <si>
    <t>ESCALA 2A</t>
  </si>
  <si>
    <t>1-Introvertido</t>
  </si>
  <si>
    <t>ESCALA 2B</t>
  </si>
  <si>
    <t>2A-Inhibido</t>
  </si>
  <si>
    <t>ESCALA 3</t>
  </si>
  <si>
    <t>2B-Pesimista</t>
  </si>
  <si>
    <t>ESCALA 4</t>
  </si>
  <si>
    <t>3-Sumiso</t>
  </si>
  <si>
    <t>4&gt;</t>
  </si>
  <si>
    <t>ESCALA 5</t>
  </si>
  <si>
    <t>4-Histriónico</t>
  </si>
  <si>
    <t>5&gt;</t>
  </si>
  <si>
    <t>ajuste a-d</t>
  </si>
  <si>
    <t>A/D</t>
  </si>
  <si>
    <t>ESCALA 6A</t>
  </si>
  <si>
    <t>5-Egocéntrico</t>
  </si>
  <si>
    <t>7&gt;</t>
  </si>
  <si>
    <t>ESCALA 6B</t>
  </si>
  <si>
    <t>6A-Rebelde</t>
  </si>
  <si>
    <t>Y-Z</t>
  </si>
  <si>
    <t>ESCALA 7</t>
  </si>
  <si>
    <t>6B-Rudo</t>
  </si>
  <si>
    <t>ESCALA 8A</t>
  </si>
  <si>
    <t>7-Conformista</t>
  </si>
  <si>
    <t>ESCALA 8B</t>
  </si>
  <si>
    <t>8A-Oposicionista</t>
  </si>
  <si>
    <t>ESCALA 9</t>
  </si>
  <si>
    <t>8B-Autopunitivo</t>
  </si>
  <si>
    <t>ESCALA A</t>
  </si>
  <si>
    <t>9-Tendencia Límite</t>
  </si>
  <si>
    <t>PRIMERO</t>
  </si>
  <si>
    <t>ESCALA B</t>
  </si>
  <si>
    <t>A-Difusión de la Identidad</t>
  </si>
  <si>
    <t>ESCALA C</t>
  </si>
  <si>
    <t>B-Desvalorización de sí mismo.</t>
  </si>
  <si>
    <t>ESCALA D</t>
  </si>
  <si>
    <t>C-Desagrado por propio cuerpo</t>
  </si>
  <si>
    <t>SEGUNDO</t>
  </si>
  <si>
    <t>ESCALA E</t>
  </si>
  <si>
    <t>D-Incomodidad respecto al sexo</t>
  </si>
  <si>
    <t>CUARTO</t>
  </si>
  <si>
    <t>TERCERO</t>
  </si>
  <si>
    <t>ESCALA F</t>
  </si>
  <si>
    <t>E-Inseguridad con los iguales</t>
  </si>
  <si>
    <t>ESCALA G</t>
  </si>
  <si>
    <t>F-Insensibiidad social</t>
  </si>
  <si>
    <t>ESCALA H</t>
  </si>
  <si>
    <t>G-Discordancia Familiar</t>
  </si>
  <si>
    <t>ESCALA AA</t>
  </si>
  <si>
    <t>H-Abusos en la infancia</t>
  </si>
  <si>
    <t>ESCALA BB</t>
  </si>
  <si>
    <t>AA-Trastornos de la Alimentación</t>
  </si>
  <si>
    <t>ESCALA CC</t>
  </si>
  <si>
    <t>BB-Inclinación abuso sustancias</t>
  </si>
  <si>
    <t>ESCALA DD</t>
  </si>
  <si>
    <t>CC-Predisposición a la delincuencia</t>
  </si>
  <si>
    <t>ESCALA EE</t>
  </si>
  <si>
    <t>DD-Propensión a la impulsividad</t>
  </si>
  <si>
    <t>ESCALA FF</t>
  </si>
  <si>
    <t>EE-Sentimientos de ansiedad</t>
  </si>
  <si>
    <t>ESCALA GG</t>
  </si>
  <si>
    <t>FF-Afecto depresivo</t>
  </si>
  <si>
    <t>GG-Tendencia al suicidio</t>
  </si>
  <si>
    <t xml:space="preserve">  </t>
  </si>
  <si>
    <t>X</t>
  </si>
  <si>
    <t>VARONES13-15</t>
  </si>
  <si>
    <t>VARONES16-19</t>
  </si>
  <si>
    <t xml:space="preserve">   </t>
  </si>
  <si>
    <t>MUJERES13-15</t>
  </si>
  <si>
    <t>MUJERES16-19</t>
  </si>
  <si>
    <t>Tema ligeramente problemático</t>
  </si>
  <si>
    <t>Área problemática</t>
  </si>
  <si>
    <t>Área principal de preocupación</t>
  </si>
  <si>
    <t>Plantilla desarriollada por:</t>
  </si>
  <si>
    <t>Sergio Alexis Dominguez Lara</t>
  </si>
  <si>
    <t>RESULTADOS:</t>
  </si>
  <si>
    <t>INTERPRETACION</t>
  </si>
  <si>
    <t>EDAD</t>
  </si>
  <si>
    <t>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</si>
</sst>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b/>
      <sz val="15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u/>
      <sz val="10"/>
      <name val="Arial"/>
      <family val="2"/>
    </font>
    <font>
      <b/>
      <sz val="8"/>
      <name val="Arial"/>
      <family val="2"/>
    </font>
    <font>
      <u/>
      <sz val="8.5"/>
      <color theme="10"/>
      <name val="Arial"/>
      <family val="2"/>
    </font>
    <font>
      <u/>
      <sz val="12"/>
      <color theme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1" xfId="0" applyFill="1" applyBorder="1"/>
    <xf numFmtId="0" fontId="0" fillId="2" borderId="0" xfId="0" applyFill="1" applyAlignment="1">
      <alignment horizontal="left"/>
    </xf>
    <xf numFmtId="0" fontId="3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0" xfId="1" applyFont="1" applyFill="1" applyAlignment="1" applyProtection="1"/>
    <xf numFmtId="0" fontId="7" fillId="4" borderId="5" xfId="0" applyFont="1" applyFill="1" applyBorder="1" applyAlignment="1">
      <alignment horizontal="center"/>
    </xf>
    <xf numFmtId="0" fontId="3" fillId="4" borderId="6" xfId="0" applyFont="1" applyFill="1" applyBorder="1"/>
    <xf numFmtId="0" fontId="3" fillId="4" borderId="7" xfId="0" applyFont="1" applyFill="1" applyBorder="1"/>
    <xf numFmtId="0" fontId="3" fillId="4" borderId="8" xfId="0" applyFont="1" applyFill="1" applyBorder="1"/>
    <xf numFmtId="0" fontId="7" fillId="4" borderId="9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4" borderId="3" xfId="0" applyFont="1" applyFill="1" applyBorder="1"/>
    <xf numFmtId="0" fontId="4" fillId="4" borderId="11" xfId="0" applyFont="1" applyFill="1" applyBorder="1" applyAlignment="1">
      <alignment horizontal="center"/>
    </xf>
    <xf numFmtId="0" fontId="0" fillId="2" borderId="12" xfId="0" applyFill="1" applyBorder="1"/>
    <xf numFmtId="0" fontId="0" fillId="2" borderId="13" xfId="0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/>
    <xf numFmtId="0" fontId="4" fillId="4" borderId="15" xfId="0" applyFont="1" applyFill="1" applyBorder="1" applyAlignment="1">
      <alignment horizontal="center"/>
    </xf>
    <xf numFmtId="0" fontId="0" fillId="2" borderId="16" xfId="0" applyFill="1" applyBorder="1"/>
    <xf numFmtId="0" fontId="4" fillId="4" borderId="17" xfId="0" applyFont="1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center"/>
    </xf>
    <xf numFmtId="0" fontId="4" fillId="4" borderId="18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0" fillId="2" borderId="20" xfId="0" applyFill="1" applyBorder="1"/>
    <xf numFmtId="0" fontId="0" fillId="2" borderId="10" xfId="0" applyFill="1" applyBorder="1"/>
    <xf numFmtId="0" fontId="0" fillId="2" borderId="10" xfId="0" applyFill="1" applyBorder="1" applyAlignment="1">
      <alignment horizontal="center"/>
    </xf>
    <xf numFmtId="0" fontId="0" fillId="2" borderId="21" xfId="0" applyFill="1" applyBorder="1"/>
    <xf numFmtId="0" fontId="0" fillId="2" borderId="22" xfId="0" applyFill="1" applyBorder="1"/>
    <xf numFmtId="0" fontId="0" fillId="2" borderId="22" xfId="0" applyFill="1" applyBorder="1" applyAlignment="1">
      <alignment horizontal="center"/>
    </xf>
    <xf numFmtId="0" fontId="4" fillId="4" borderId="23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3" borderId="13" xfId="0" applyFill="1" applyBorder="1"/>
    <xf numFmtId="0" fontId="0" fillId="3" borderId="1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7" fillId="4" borderId="24" xfId="0" applyFont="1" applyFill="1" applyBorder="1"/>
    <xf numFmtId="0" fontId="0" fillId="2" borderId="25" xfId="0" applyFill="1" applyBorder="1" applyAlignment="1">
      <alignment horizontal="center"/>
    </xf>
    <xf numFmtId="0" fontId="0" fillId="3" borderId="11" xfId="0" applyFill="1" applyBorder="1"/>
    <xf numFmtId="0" fontId="0" fillId="2" borderId="26" xfId="0" applyFill="1" applyBorder="1" applyAlignment="1">
      <alignment horizontal="center"/>
    </xf>
    <xf numFmtId="0" fontId="0" fillId="3" borderId="15" xfId="0" applyFill="1" applyBorder="1"/>
    <xf numFmtId="0" fontId="0" fillId="2" borderId="1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3" fillId="7" borderId="0" xfId="0" applyFont="1" applyFill="1"/>
    <xf numFmtId="0" fontId="0" fillId="7" borderId="0" xfId="0" applyFill="1"/>
    <xf numFmtId="0" fontId="3" fillId="7" borderId="0" xfId="0" applyFont="1" applyFill="1" applyAlignment="1">
      <alignment horizontal="left"/>
    </xf>
    <xf numFmtId="0" fontId="0" fillId="4" borderId="1" xfId="0" applyFill="1" applyBorder="1"/>
    <xf numFmtId="0" fontId="4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9" fillId="2" borderId="0" xfId="1" applyFont="1" applyFill="1" applyBorder="1" applyAlignment="1" applyProtection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INVENTARIO CLINICO PARA ADOLESCENTES DE MILLON</a:t>
            </a:r>
          </a:p>
        </c:rich>
      </c:tx>
      <c:layout>
        <c:manualLayout>
          <c:xMode val="edge"/>
          <c:yMode val="edge"/>
          <c:x val="0.267260579064588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496659242761692E-2"/>
          <c:y val="0.12071778140293637"/>
          <c:w val="0.84966592427616927"/>
          <c:h val="0.77650897226753668"/>
        </c:manualLayout>
      </c:layout>
      <c:lineChart>
        <c:grouping val="standard"/>
        <c:varyColors val="0"/>
        <c:ser>
          <c:idx val="1"/>
          <c:order val="0"/>
          <c:cat>
            <c:strRef>
              <c:f>RESULTADOS!$I$107:$I$124</c:f>
              <c:strCache>
                <c:ptCount val="18"/>
                <c:pt idx="0">
                  <c:v>  </c:v>
                </c:pt>
                <c:pt idx="1">
                  <c:v>X</c:v>
                </c:pt>
                <c:pt idx="2">
                  <c:v>Y</c:v>
                </c:pt>
                <c:pt idx="3">
                  <c:v>Z</c:v>
                </c:pt>
                <c:pt idx="4">
                  <c:v>   </c:v>
                </c:pt>
                <c:pt idx="5">
                  <c:v>1</c:v>
                </c:pt>
                <c:pt idx="6">
                  <c:v>2A</c:v>
                </c:pt>
                <c:pt idx="7">
                  <c:v>2B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6A</c:v>
                </c:pt>
                <c:pt idx="12">
                  <c:v>6B</c:v>
                </c:pt>
                <c:pt idx="13">
                  <c:v>7</c:v>
                </c:pt>
                <c:pt idx="14">
                  <c:v>8A</c:v>
                </c:pt>
                <c:pt idx="15">
                  <c:v>8B</c:v>
                </c:pt>
                <c:pt idx="16">
                  <c:v>9</c:v>
                </c:pt>
                <c:pt idx="17">
                  <c:v>  </c:v>
                </c:pt>
              </c:strCache>
            </c:strRef>
          </c:cat>
          <c:val>
            <c:numRef>
              <c:f>RESULTADOS!$J$107:$J$124</c:f>
            </c:numRef>
          </c:val>
          <c:smooth val="0"/>
          <c:extLst>
            <c:ext xmlns:c16="http://schemas.microsoft.com/office/drawing/2014/chart" uri="{C3380CC4-5D6E-409C-BE32-E72D297353CC}">
              <c16:uniqueId val="{00000000-647F-4216-BC64-868A1328E000}"/>
            </c:ext>
          </c:extLst>
        </c:ser>
        <c:ser>
          <c:idx val="2"/>
          <c:order val="1"/>
          <c:cat>
            <c:strRef>
              <c:f>RESULTADOS!$I$107:$I$124</c:f>
              <c:strCache>
                <c:ptCount val="18"/>
                <c:pt idx="0">
                  <c:v>  </c:v>
                </c:pt>
                <c:pt idx="1">
                  <c:v>X</c:v>
                </c:pt>
                <c:pt idx="2">
                  <c:v>Y</c:v>
                </c:pt>
                <c:pt idx="3">
                  <c:v>Z</c:v>
                </c:pt>
                <c:pt idx="4">
                  <c:v>   </c:v>
                </c:pt>
                <c:pt idx="5">
                  <c:v>1</c:v>
                </c:pt>
                <c:pt idx="6">
                  <c:v>2A</c:v>
                </c:pt>
                <c:pt idx="7">
                  <c:v>2B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6A</c:v>
                </c:pt>
                <c:pt idx="12">
                  <c:v>6B</c:v>
                </c:pt>
                <c:pt idx="13">
                  <c:v>7</c:v>
                </c:pt>
                <c:pt idx="14">
                  <c:v>8A</c:v>
                </c:pt>
                <c:pt idx="15">
                  <c:v>8B</c:v>
                </c:pt>
                <c:pt idx="16">
                  <c:v>9</c:v>
                </c:pt>
                <c:pt idx="17">
                  <c:v>  </c:v>
                </c:pt>
              </c:strCache>
            </c:strRef>
          </c:cat>
          <c:val>
            <c:numRef>
              <c:f>RESULTADOS!$K$107:$K$124</c:f>
            </c:numRef>
          </c:val>
          <c:smooth val="0"/>
          <c:extLst>
            <c:ext xmlns:c16="http://schemas.microsoft.com/office/drawing/2014/chart" uri="{C3380CC4-5D6E-409C-BE32-E72D297353CC}">
              <c16:uniqueId val="{00000001-647F-4216-BC64-868A1328E000}"/>
            </c:ext>
          </c:extLst>
        </c:ser>
        <c:ser>
          <c:idx val="3"/>
          <c:order val="2"/>
          <c:cat>
            <c:strRef>
              <c:f>RESULTADOS!$I$107:$I$124</c:f>
              <c:strCache>
                <c:ptCount val="18"/>
                <c:pt idx="0">
                  <c:v>  </c:v>
                </c:pt>
                <c:pt idx="1">
                  <c:v>X</c:v>
                </c:pt>
                <c:pt idx="2">
                  <c:v>Y</c:v>
                </c:pt>
                <c:pt idx="3">
                  <c:v>Z</c:v>
                </c:pt>
                <c:pt idx="4">
                  <c:v>   </c:v>
                </c:pt>
                <c:pt idx="5">
                  <c:v>1</c:v>
                </c:pt>
                <c:pt idx="6">
                  <c:v>2A</c:v>
                </c:pt>
                <c:pt idx="7">
                  <c:v>2B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6A</c:v>
                </c:pt>
                <c:pt idx="12">
                  <c:v>6B</c:v>
                </c:pt>
                <c:pt idx="13">
                  <c:v>7</c:v>
                </c:pt>
                <c:pt idx="14">
                  <c:v>8A</c:v>
                </c:pt>
                <c:pt idx="15">
                  <c:v>8B</c:v>
                </c:pt>
                <c:pt idx="16">
                  <c:v>9</c:v>
                </c:pt>
                <c:pt idx="17">
                  <c:v>  </c:v>
                </c:pt>
              </c:strCache>
            </c:strRef>
          </c:cat>
          <c:val>
            <c:numRef>
              <c:f>RESULTADOS!$L$107:$L$124</c:f>
            </c:numRef>
          </c:val>
          <c:smooth val="0"/>
          <c:extLst>
            <c:ext xmlns:c16="http://schemas.microsoft.com/office/drawing/2014/chart" uri="{C3380CC4-5D6E-409C-BE32-E72D297353CC}">
              <c16:uniqueId val="{00000002-647F-4216-BC64-868A1328E000}"/>
            </c:ext>
          </c:extLst>
        </c:ser>
        <c:ser>
          <c:idx val="4"/>
          <c:order val="3"/>
          <c:cat>
            <c:strRef>
              <c:f>RESULTADOS!$I$107:$I$124</c:f>
              <c:strCache>
                <c:ptCount val="18"/>
                <c:pt idx="0">
                  <c:v>  </c:v>
                </c:pt>
                <c:pt idx="1">
                  <c:v>X</c:v>
                </c:pt>
                <c:pt idx="2">
                  <c:v>Y</c:v>
                </c:pt>
                <c:pt idx="3">
                  <c:v>Z</c:v>
                </c:pt>
                <c:pt idx="4">
                  <c:v>   </c:v>
                </c:pt>
                <c:pt idx="5">
                  <c:v>1</c:v>
                </c:pt>
                <c:pt idx="6">
                  <c:v>2A</c:v>
                </c:pt>
                <c:pt idx="7">
                  <c:v>2B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6A</c:v>
                </c:pt>
                <c:pt idx="12">
                  <c:v>6B</c:v>
                </c:pt>
                <c:pt idx="13">
                  <c:v>7</c:v>
                </c:pt>
                <c:pt idx="14">
                  <c:v>8A</c:v>
                </c:pt>
                <c:pt idx="15">
                  <c:v>8B</c:v>
                </c:pt>
                <c:pt idx="16">
                  <c:v>9</c:v>
                </c:pt>
                <c:pt idx="17">
                  <c:v>  </c:v>
                </c:pt>
              </c:strCache>
            </c:strRef>
          </c:cat>
          <c:val>
            <c:numRef>
              <c:f>RESULTADOS!$M$107:$M$124</c:f>
            </c:numRef>
          </c:val>
          <c:smooth val="0"/>
          <c:extLst>
            <c:ext xmlns:c16="http://schemas.microsoft.com/office/drawing/2014/chart" uri="{C3380CC4-5D6E-409C-BE32-E72D297353CC}">
              <c16:uniqueId val="{00000003-647F-4216-BC64-868A1328E000}"/>
            </c:ext>
          </c:extLst>
        </c:ser>
        <c:ser>
          <c:idx val="0"/>
          <c:order val="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"/>
            <c:bubble3D val="0"/>
            <c:spPr>
              <a:ln w="12700">
                <a:solidFill>
                  <a:srgbClr val="C0C0C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47F-4216-BC64-868A1328E000}"/>
              </c:ext>
            </c:extLst>
          </c:dPt>
          <c:dPt>
            <c:idx val="4"/>
            <c:bubble3D val="0"/>
            <c:spPr>
              <a:ln w="12700">
                <a:solidFill>
                  <a:srgbClr val="C0C0C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47F-4216-BC64-868A1328E000}"/>
              </c:ext>
            </c:extLst>
          </c:dPt>
          <c:dPt>
            <c:idx val="5"/>
            <c:bubble3D val="0"/>
            <c:spPr>
              <a:ln w="12700">
                <a:solidFill>
                  <a:srgbClr val="C0C0C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47F-4216-BC64-868A1328E000}"/>
              </c:ext>
            </c:extLst>
          </c:dPt>
          <c:dPt>
            <c:idx val="17"/>
            <c:bubble3D val="0"/>
            <c:spPr>
              <a:ln w="12700">
                <a:solidFill>
                  <a:srgbClr val="C0C0C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47F-4216-BC64-868A1328E000}"/>
              </c:ext>
            </c:extLst>
          </c:dPt>
          <c:cat>
            <c:strRef>
              <c:f>RESULTADOS!$I$107:$I$124</c:f>
              <c:strCache>
                <c:ptCount val="18"/>
                <c:pt idx="0">
                  <c:v>  </c:v>
                </c:pt>
                <c:pt idx="1">
                  <c:v>X</c:v>
                </c:pt>
                <c:pt idx="2">
                  <c:v>Y</c:v>
                </c:pt>
                <c:pt idx="3">
                  <c:v>Z</c:v>
                </c:pt>
                <c:pt idx="4">
                  <c:v>   </c:v>
                </c:pt>
                <c:pt idx="5">
                  <c:v>1</c:v>
                </c:pt>
                <c:pt idx="6">
                  <c:v>2A</c:v>
                </c:pt>
                <c:pt idx="7">
                  <c:v>2B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6A</c:v>
                </c:pt>
                <c:pt idx="12">
                  <c:v>6B</c:v>
                </c:pt>
                <c:pt idx="13">
                  <c:v>7</c:v>
                </c:pt>
                <c:pt idx="14">
                  <c:v>8A</c:v>
                </c:pt>
                <c:pt idx="15">
                  <c:v>8B</c:v>
                </c:pt>
                <c:pt idx="16">
                  <c:v>9</c:v>
                </c:pt>
                <c:pt idx="17">
                  <c:v>  </c:v>
                </c:pt>
              </c:strCache>
            </c:strRef>
          </c:cat>
          <c:val>
            <c:numRef>
              <c:f>RESULTADOS!$N$107:$N$124</c:f>
              <c:numCache>
                <c:formatCode>General</c:formatCode>
                <c:ptCount val="18"/>
                <c:pt idx="0">
                  <c:v>115</c:v>
                </c:pt>
                <c:pt idx="1">
                  <c:v>37</c:v>
                </c:pt>
                <c:pt idx="2">
                  <c:v>41</c:v>
                </c:pt>
                <c:pt idx="3">
                  <c:v>34</c:v>
                </c:pt>
                <c:pt idx="4">
                  <c:v>33</c:v>
                </c:pt>
                <c:pt idx="5">
                  <c:v>26</c:v>
                </c:pt>
                <c:pt idx="6">
                  <c:v>20</c:v>
                </c:pt>
                <c:pt idx="7">
                  <c:v>37</c:v>
                </c:pt>
                <c:pt idx="8">
                  <c:v>42</c:v>
                </c:pt>
                <c:pt idx="9">
                  <c:v>72</c:v>
                </c:pt>
                <c:pt idx="10">
                  <c:v>56</c:v>
                </c:pt>
                <c:pt idx="11">
                  <c:v>49</c:v>
                </c:pt>
                <c:pt idx="12">
                  <c:v>45</c:v>
                </c:pt>
                <c:pt idx="13">
                  <c:v>54</c:v>
                </c:pt>
                <c:pt idx="14">
                  <c:v>47</c:v>
                </c:pt>
                <c:pt idx="15">
                  <c:v>38</c:v>
                </c:pt>
                <c:pt idx="16">
                  <c:v>40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47F-4216-BC64-868A1328E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102799"/>
        <c:axId val="1"/>
      </c:lineChart>
      <c:catAx>
        <c:axId val="1421102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ESCALAS</a:t>
                </a:r>
              </a:p>
            </c:rich>
          </c:tx>
          <c:layout>
            <c:manualLayout>
              <c:xMode val="edge"/>
              <c:yMode val="edge"/>
              <c:x val="0.46547884187082406"/>
              <c:y val="0.94616639477977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TB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494290375203915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110279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>
            <a:alpha val="100000"/>
          </a:srgbClr>
        </a:solidFill>
        <a:ln w="3175">
          <a:solidFill>
            <a:srgbClr val="000000">
              <a:alpha val="100000"/>
            </a:srgbClr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INVENTARIO CLINICO PARA ADOLESCENTES DE MILLON</a:t>
            </a:r>
          </a:p>
        </c:rich>
      </c:tx>
      <c:layout>
        <c:manualLayout>
          <c:xMode val="edge"/>
          <c:yMode val="edge"/>
          <c:x val="0.26473635301691617"/>
          <c:y val="2.0338983050847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286452947259561E-2"/>
          <c:y val="0.12542372881355932"/>
          <c:w val="0.85418821096173736"/>
          <c:h val="0.764406779661017"/>
        </c:manualLayout>
      </c:layout>
      <c:lineChart>
        <c:grouping val="standard"/>
        <c:varyColors val="0"/>
        <c:ser>
          <c:idx val="1"/>
          <c:order val="0"/>
          <c:cat>
            <c:strRef>
              <c:f>RESULTADOS!$I$125:$I$142</c:f>
              <c:strCache>
                <c:ptCount val="18"/>
                <c:pt idx="0">
                  <c:v>  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E</c:v>
                </c:pt>
                <c:pt idx="6">
                  <c:v>F</c:v>
                </c:pt>
                <c:pt idx="7">
                  <c:v>G</c:v>
                </c:pt>
                <c:pt idx="8">
                  <c:v>H</c:v>
                </c:pt>
                <c:pt idx="9">
                  <c:v>  </c:v>
                </c:pt>
                <c:pt idx="10">
                  <c:v>AA</c:v>
                </c:pt>
                <c:pt idx="11">
                  <c:v>BB</c:v>
                </c:pt>
                <c:pt idx="12">
                  <c:v>CC</c:v>
                </c:pt>
                <c:pt idx="13">
                  <c:v>DD</c:v>
                </c:pt>
                <c:pt idx="14">
                  <c:v>EE</c:v>
                </c:pt>
                <c:pt idx="15">
                  <c:v>FF</c:v>
                </c:pt>
                <c:pt idx="16">
                  <c:v>GG</c:v>
                </c:pt>
                <c:pt idx="17">
                  <c:v>  </c:v>
                </c:pt>
              </c:strCache>
            </c:strRef>
          </c:cat>
          <c:val>
            <c:numRef>
              <c:f>RESULTADOS!$J$125:$J$142</c:f>
            </c:numRef>
          </c:val>
          <c:smooth val="0"/>
          <c:extLst>
            <c:ext xmlns:c16="http://schemas.microsoft.com/office/drawing/2014/chart" uri="{C3380CC4-5D6E-409C-BE32-E72D297353CC}">
              <c16:uniqueId val="{00000000-4459-46D2-B9EC-6EC117F52261}"/>
            </c:ext>
          </c:extLst>
        </c:ser>
        <c:ser>
          <c:idx val="2"/>
          <c:order val="1"/>
          <c:cat>
            <c:strRef>
              <c:f>RESULTADOS!$I$125:$I$142</c:f>
              <c:strCache>
                <c:ptCount val="18"/>
                <c:pt idx="0">
                  <c:v>  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E</c:v>
                </c:pt>
                <c:pt idx="6">
                  <c:v>F</c:v>
                </c:pt>
                <c:pt idx="7">
                  <c:v>G</c:v>
                </c:pt>
                <c:pt idx="8">
                  <c:v>H</c:v>
                </c:pt>
                <c:pt idx="9">
                  <c:v>  </c:v>
                </c:pt>
                <c:pt idx="10">
                  <c:v>AA</c:v>
                </c:pt>
                <c:pt idx="11">
                  <c:v>BB</c:v>
                </c:pt>
                <c:pt idx="12">
                  <c:v>CC</c:v>
                </c:pt>
                <c:pt idx="13">
                  <c:v>DD</c:v>
                </c:pt>
                <c:pt idx="14">
                  <c:v>EE</c:v>
                </c:pt>
                <c:pt idx="15">
                  <c:v>FF</c:v>
                </c:pt>
                <c:pt idx="16">
                  <c:v>GG</c:v>
                </c:pt>
                <c:pt idx="17">
                  <c:v>  </c:v>
                </c:pt>
              </c:strCache>
            </c:strRef>
          </c:cat>
          <c:val>
            <c:numRef>
              <c:f>RESULTADOS!$K$125:$K$142</c:f>
            </c:numRef>
          </c:val>
          <c:smooth val="0"/>
          <c:extLst>
            <c:ext xmlns:c16="http://schemas.microsoft.com/office/drawing/2014/chart" uri="{C3380CC4-5D6E-409C-BE32-E72D297353CC}">
              <c16:uniqueId val="{00000001-4459-46D2-B9EC-6EC117F52261}"/>
            </c:ext>
          </c:extLst>
        </c:ser>
        <c:ser>
          <c:idx val="3"/>
          <c:order val="2"/>
          <c:cat>
            <c:strRef>
              <c:f>RESULTADOS!$I$125:$I$142</c:f>
              <c:strCache>
                <c:ptCount val="18"/>
                <c:pt idx="0">
                  <c:v>  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E</c:v>
                </c:pt>
                <c:pt idx="6">
                  <c:v>F</c:v>
                </c:pt>
                <c:pt idx="7">
                  <c:v>G</c:v>
                </c:pt>
                <c:pt idx="8">
                  <c:v>H</c:v>
                </c:pt>
                <c:pt idx="9">
                  <c:v>  </c:v>
                </c:pt>
                <c:pt idx="10">
                  <c:v>AA</c:v>
                </c:pt>
                <c:pt idx="11">
                  <c:v>BB</c:v>
                </c:pt>
                <c:pt idx="12">
                  <c:v>CC</c:v>
                </c:pt>
                <c:pt idx="13">
                  <c:v>DD</c:v>
                </c:pt>
                <c:pt idx="14">
                  <c:v>EE</c:v>
                </c:pt>
                <c:pt idx="15">
                  <c:v>FF</c:v>
                </c:pt>
                <c:pt idx="16">
                  <c:v>GG</c:v>
                </c:pt>
                <c:pt idx="17">
                  <c:v>  </c:v>
                </c:pt>
              </c:strCache>
            </c:strRef>
          </c:cat>
          <c:val>
            <c:numRef>
              <c:f>RESULTADOS!$L$125:$L$142</c:f>
            </c:numRef>
          </c:val>
          <c:smooth val="0"/>
          <c:extLst>
            <c:ext xmlns:c16="http://schemas.microsoft.com/office/drawing/2014/chart" uri="{C3380CC4-5D6E-409C-BE32-E72D297353CC}">
              <c16:uniqueId val="{00000002-4459-46D2-B9EC-6EC117F52261}"/>
            </c:ext>
          </c:extLst>
        </c:ser>
        <c:ser>
          <c:idx val="4"/>
          <c:order val="3"/>
          <c:cat>
            <c:strRef>
              <c:f>RESULTADOS!$I$125:$I$142</c:f>
              <c:strCache>
                <c:ptCount val="18"/>
                <c:pt idx="0">
                  <c:v>  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E</c:v>
                </c:pt>
                <c:pt idx="6">
                  <c:v>F</c:v>
                </c:pt>
                <c:pt idx="7">
                  <c:v>G</c:v>
                </c:pt>
                <c:pt idx="8">
                  <c:v>H</c:v>
                </c:pt>
                <c:pt idx="9">
                  <c:v>  </c:v>
                </c:pt>
                <c:pt idx="10">
                  <c:v>AA</c:v>
                </c:pt>
                <c:pt idx="11">
                  <c:v>BB</c:v>
                </c:pt>
                <c:pt idx="12">
                  <c:v>CC</c:v>
                </c:pt>
                <c:pt idx="13">
                  <c:v>DD</c:v>
                </c:pt>
                <c:pt idx="14">
                  <c:v>EE</c:v>
                </c:pt>
                <c:pt idx="15">
                  <c:v>FF</c:v>
                </c:pt>
                <c:pt idx="16">
                  <c:v>GG</c:v>
                </c:pt>
                <c:pt idx="17">
                  <c:v>  </c:v>
                </c:pt>
              </c:strCache>
            </c:strRef>
          </c:cat>
          <c:val>
            <c:numRef>
              <c:f>RESULTADOS!$M$125:$M$142</c:f>
            </c:numRef>
          </c:val>
          <c:smooth val="0"/>
          <c:extLst>
            <c:ext xmlns:c16="http://schemas.microsoft.com/office/drawing/2014/chart" uri="{C3380CC4-5D6E-409C-BE32-E72D297353CC}">
              <c16:uniqueId val="{00000003-4459-46D2-B9EC-6EC117F52261}"/>
            </c:ext>
          </c:extLst>
        </c:ser>
        <c:ser>
          <c:idx val="0"/>
          <c:order val="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"/>
            <c:bubble3D val="0"/>
            <c:spPr>
              <a:ln w="12700">
                <a:solidFill>
                  <a:srgbClr val="C0C0C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459-46D2-B9EC-6EC117F52261}"/>
              </c:ext>
            </c:extLst>
          </c:dPt>
          <c:dPt>
            <c:idx val="9"/>
            <c:marker>
              <c:symbol val="diamond"/>
              <c:size val="2"/>
            </c:marker>
            <c:bubble3D val="0"/>
            <c:spPr>
              <a:ln w="3175">
                <a:solidFill>
                  <a:srgbClr val="C0C0C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459-46D2-B9EC-6EC117F52261}"/>
              </c:ext>
            </c:extLst>
          </c:dPt>
          <c:dPt>
            <c:idx val="10"/>
            <c:bubble3D val="0"/>
            <c:spPr>
              <a:ln w="12700">
                <a:solidFill>
                  <a:srgbClr val="C0C0C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459-46D2-B9EC-6EC117F52261}"/>
              </c:ext>
            </c:extLst>
          </c:dPt>
          <c:dPt>
            <c:idx val="17"/>
            <c:bubble3D val="0"/>
            <c:spPr>
              <a:ln w="12700">
                <a:solidFill>
                  <a:srgbClr val="C0C0C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459-46D2-B9EC-6EC117F52261}"/>
              </c:ext>
            </c:extLst>
          </c:dPt>
          <c:cat>
            <c:strRef>
              <c:f>RESULTADOS!$I$125:$I$142</c:f>
              <c:strCache>
                <c:ptCount val="18"/>
                <c:pt idx="0">
                  <c:v>  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E</c:v>
                </c:pt>
                <c:pt idx="6">
                  <c:v>F</c:v>
                </c:pt>
                <c:pt idx="7">
                  <c:v>G</c:v>
                </c:pt>
                <c:pt idx="8">
                  <c:v>H</c:v>
                </c:pt>
                <c:pt idx="9">
                  <c:v>  </c:v>
                </c:pt>
                <c:pt idx="10">
                  <c:v>AA</c:v>
                </c:pt>
                <c:pt idx="11">
                  <c:v>BB</c:v>
                </c:pt>
                <c:pt idx="12">
                  <c:v>CC</c:v>
                </c:pt>
                <c:pt idx="13">
                  <c:v>DD</c:v>
                </c:pt>
                <c:pt idx="14">
                  <c:v>EE</c:v>
                </c:pt>
                <c:pt idx="15">
                  <c:v>FF</c:v>
                </c:pt>
                <c:pt idx="16">
                  <c:v>GG</c:v>
                </c:pt>
                <c:pt idx="17">
                  <c:v>  </c:v>
                </c:pt>
              </c:strCache>
            </c:strRef>
          </c:cat>
          <c:val>
            <c:numRef>
              <c:f>RESULTADOS!$N$125:$N$142</c:f>
              <c:numCache>
                <c:formatCode>General</c:formatCode>
                <c:ptCount val="18"/>
                <c:pt idx="0">
                  <c:v>115</c:v>
                </c:pt>
                <c:pt idx="1">
                  <c:v>31</c:v>
                </c:pt>
                <c:pt idx="2">
                  <c:v>33</c:v>
                </c:pt>
                <c:pt idx="3">
                  <c:v>46</c:v>
                </c:pt>
                <c:pt idx="4">
                  <c:v>74</c:v>
                </c:pt>
                <c:pt idx="5">
                  <c:v>48</c:v>
                </c:pt>
                <c:pt idx="6">
                  <c:v>81</c:v>
                </c:pt>
                <c:pt idx="7">
                  <c:v>43</c:v>
                </c:pt>
                <c:pt idx="8">
                  <c:v>78</c:v>
                </c:pt>
                <c:pt idx="9">
                  <c:v>44</c:v>
                </c:pt>
                <c:pt idx="10">
                  <c:v>50</c:v>
                </c:pt>
                <c:pt idx="11">
                  <c:v>64</c:v>
                </c:pt>
                <c:pt idx="12">
                  <c:v>79</c:v>
                </c:pt>
                <c:pt idx="13">
                  <c:v>53</c:v>
                </c:pt>
                <c:pt idx="14">
                  <c:v>23</c:v>
                </c:pt>
                <c:pt idx="15">
                  <c:v>15</c:v>
                </c:pt>
                <c:pt idx="16">
                  <c:v>43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459-46D2-B9EC-6EC117F52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101839"/>
        <c:axId val="1"/>
      </c:lineChart>
      <c:catAx>
        <c:axId val="1421101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ESCALAS</a:t>
                </a:r>
              </a:p>
            </c:rich>
          </c:tx>
          <c:layout>
            <c:manualLayout>
              <c:xMode val="edge"/>
              <c:yMode val="edge"/>
              <c:x val="0.46328855951829556"/>
              <c:y val="0.942372881355932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TB</a:t>
                </a:r>
              </a:p>
            </c:rich>
          </c:tx>
          <c:layout>
            <c:manualLayout>
              <c:xMode val="edge"/>
              <c:yMode val="edge"/>
              <c:x val="1.137540382368963E-2"/>
              <c:y val="0.489830508474576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110183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>
            <a:alpha val="100000"/>
          </a:srgbClr>
        </a:solidFill>
        <a:ln w="3175">
          <a:solidFill>
            <a:srgbClr val="000000">
              <a:alpha val="100000"/>
            </a:srgbClr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75967413441955E-2"/>
          <c:y val="0.10038628963993432"/>
          <c:w val="0.87372708757637474"/>
          <c:h val="0.72587009431952509"/>
        </c:manualLayout>
      </c:layout>
      <c:lineChart>
        <c:grouping val="standard"/>
        <c:varyColors val="0"/>
        <c:ser>
          <c:idx val="1"/>
          <c:order val="0"/>
          <c:cat>
            <c:strRef>
              <c:f>RESULTADOS!$I$107:$I$124</c:f>
              <c:strCache>
                <c:ptCount val="18"/>
                <c:pt idx="0">
                  <c:v>  </c:v>
                </c:pt>
                <c:pt idx="1">
                  <c:v>X</c:v>
                </c:pt>
                <c:pt idx="2">
                  <c:v>Y</c:v>
                </c:pt>
                <c:pt idx="3">
                  <c:v>Z</c:v>
                </c:pt>
                <c:pt idx="4">
                  <c:v>   </c:v>
                </c:pt>
                <c:pt idx="5">
                  <c:v>1</c:v>
                </c:pt>
                <c:pt idx="6">
                  <c:v>2A</c:v>
                </c:pt>
                <c:pt idx="7">
                  <c:v>2B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6A</c:v>
                </c:pt>
                <c:pt idx="12">
                  <c:v>6B</c:v>
                </c:pt>
                <c:pt idx="13">
                  <c:v>7</c:v>
                </c:pt>
                <c:pt idx="14">
                  <c:v>8A</c:v>
                </c:pt>
                <c:pt idx="15">
                  <c:v>8B</c:v>
                </c:pt>
                <c:pt idx="16">
                  <c:v>9</c:v>
                </c:pt>
                <c:pt idx="17">
                  <c:v>  </c:v>
                </c:pt>
              </c:strCache>
            </c:strRef>
          </c:cat>
          <c:val>
            <c:numRef>
              <c:f>RESULTADOS!$J$107:$J$124</c:f>
            </c:numRef>
          </c:val>
          <c:smooth val="0"/>
          <c:extLst>
            <c:ext xmlns:c16="http://schemas.microsoft.com/office/drawing/2014/chart" uri="{C3380CC4-5D6E-409C-BE32-E72D297353CC}">
              <c16:uniqueId val="{00000000-F02E-4F4E-BD70-3015D2B12DCC}"/>
            </c:ext>
          </c:extLst>
        </c:ser>
        <c:ser>
          <c:idx val="2"/>
          <c:order val="1"/>
          <c:cat>
            <c:strRef>
              <c:f>RESULTADOS!$I$107:$I$124</c:f>
              <c:strCache>
                <c:ptCount val="18"/>
                <c:pt idx="0">
                  <c:v>  </c:v>
                </c:pt>
                <c:pt idx="1">
                  <c:v>X</c:v>
                </c:pt>
                <c:pt idx="2">
                  <c:v>Y</c:v>
                </c:pt>
                <c:pt idx="3">
                  <c:v>Z</c:v>
                </c:pt>
                <c:pt idx="4">
                  <c:v>   </c:v>
                </c:pt>
                <c:pt idx="5">
                  <c:v>1</c:v>
                </c:pt>
                <c:pt idx="6">
                  <c:v>2A</c:v>
                </c:pt>
                <c:pt idx="7">
                  <c:v>2B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6A</c:v>
                </c:pt>
                <c:pt idx="12">
                  <c:v>6B</c:v>
                </c:pt>
                <c:pt idx="13">
                  <c:v>7</c:v>
                </c:pt>
                <c:pt idx="14">
                  <c:v>8A</c:v>
                </c:pt>
                <c:pt idx="15">
                  <c:v>8B</c:v>
                </c:pt>
                <c:pt idx="16">
                  <c:v>9</c:v>
                </c:pt>
                <c:pt idx="17">
                  <c:v>  </c:v>
                </c:pt>
              </c:strCache>
            </c:strRef>
          </c:cat>
          <c:val>
            <c:numRef>
              <c:f>RESULTADOS!$K$107:$K$124</c:f>
            </c:numRef>
          </c:val>
          <c:smooth val="0"/>
          <c:extLst>
            <c:ext xmlns:c16="http://schemas.microsoft.com/office/drawing/2014/chart" uri="{C3380CC4-5D6E-409C-BE32-E72D297353CC}">
              <c16:uniqueId val="{00000001-F02E-4F4E-BD70-3015D2B12DCC}"/>
            </c:ext>
          </c:extLst>
        </c:ser>
        <c:ser>
          <c:idx val="3"/>
          <c:order val="2"/>
          <c:cat>
            <c:strRef>
              <c:f>RESULTADOS!$I$107:$I$124</c:f>
              <c:strCache>
                <c:ptCount val="18"/>
                <c:pt idx="0">
                  <c:v>  </c:v>
                </c:pt>
                <c:pt idx="1">
                  <c:v>X</c:v>
                </c:pt>
                <c:pt idx="2">
                  <c:v>Y</c:v>
                </c:pt>
                <c:pt idx="3">
                  <c:v>Z</c:v>
                </c:pt>
                <c:pt idx="4">
                  <c:v>   </c:v>
                </c:pt>
                <c:pt idx="5">
                  <c:v>1</c:v>
                </c:pt>
                <c:pt idx="6">
                  <c:v>2A</c:v>
                </c:pt>
                <c:pt idx="7">
                  <c:v>2B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6A</c:v>
                </c:pt>
                <c:pt idx="12">
                  <c:v>6B</c:v>
                </c:pt>
                <c:pt idx="13">
                  <c:v>7</c:v>
                </c:pt>
                <c:pt idx="14">
                  <c:v>8A</c:v>
                </c:pt>
                <c:pt idx="15">
                  <c:v>8B</c:v>
                </c:pt>
                <c:pt idx="16">
                  <c:v>9</c:v>
                </c:pt>
                <c:pt idx="17">
                  <c:v>  </c:v>
                </c:pt>
              </c:strCache>
            </c:strRef>
          </c:cat>
          <c:val>
            <c:numRef>
              <c:f>RESULTADOS!$L$107:$L$124</c:f>
            </c:numRef>
          </c:val>
          <c:smooth val="0"/>
          <c:extLst>
            <c:ext xmlns:c16="http://schemas.microsoft.com/office/drawing/2014/chart" uri="{C3380CC4-5D6E-409C-BE32-E72D297353CC}">
              <c16:uniqueId val="{00000002-F02E-4F4E-BD70-3015D2B12DCC}"/>
            </c:ext>
          </c:extLst>
        </c:ser>
        <c:ser>
          <c:idx val="4"/>
          <c:order val="3"/>
          <c:cat>
            <c:strRef>
              <c:f>RESULTADOS!$I$107:$I$124</c:f>
              <c:strCache>
                <c:ptCount val="18"/>
                <c:pt idx="0">
                  <c:v>  </c:v>
                </c:pt>
                <c:pt idx="1">
                  <c:v>X</c:v>
                </c:pt>
                <c:pt idx="2">
                  <c:v>Y</c:v>
                </c:pt>
                <c:pt idx="3">
                  <c:v>Z</c:v>
                </c:pt>
                <c:pt idx="4">
                  <c:v>   </c:v>
                </c:pt>
                <c:pt idx="5">
                  <c:v>1</c:v>
                </c:pt>
                <c:pt idx="6">
                  <c:v>2A</c:v>
                </c:pt>
                <c:pt idx="7">
                  <c:v>2B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6A</c:v>
                </c:pt>
                <c:pt idx="12">
                  <c:v>6B</c:v>
                </c:pt>
                <c:pt idx="13">
                  <c:v>7</c:v>
                </c:pt>
                <c:pt idx="14">
                  <c:v>8A</c:v>
                </c:pt>
                <c:pt idx="15">
                  <c:v>8B</c:v>
                </c:pt>
                <c:pt idx="16">
                  <c:v>9</c:v>
                </c:pt>
                <c:pt idx="17">
                  <c:v>  </c:v>
                </c:pt>
              </c:strCache>
            </c:strRef>
          </c:cat>
          <c:val>
            <c:numRef>
              <c:f>RESULTADOS!$M$107:$M$124</c:f>
            </c:numRef>
          </c:val>
          <c:smooth val="0"/>
          <c:extLst>
            <c:ext xmlns:c16="http://schemas.microsoft.com/office/drawing/2014/chart" uri="{C3380CC4-5D6E-409C-BE32-E72D297353CC}">
              <c16:uniqueId val="{00000003-F02E-4F4E-BD70-3015D2B12DCC}"/>
            </c:ext>
          </c:extLst>
        </c:ser>
        <c:ser>
          <c:idx val="0"/>
          <c:order val="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"/>
            <c:bubble3D val="0"/>
            <c:spPr>
              <a:ln w="12700">
                <a:solidFill>
                  <a:srgbClr val="C0C0C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02E-4F4E-BD70-3015D2B12DCC}"/>
              </c:ext>
            </c:extLst>
          </c:dPt>
          <c:dPt>
            <c:idx val="4"/>
            <c:bubble3D val="0"/>
            <c:spPr>
              <a:ln w="12700">
                <a:solidFill>
                  <a:srgbClr val="C0C0C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02E-4F4E-BD70-3015D2B12DCC}"/>
              </c:ext>
            </c:extLst>
          </c:dPt>
          <c:dPt>
            <c:idx val="5"/>
            <c:bubble3D val="0"/>
            <c:spPr>
              <a:ln w="12700">
                <a:solidFill>
                  <a:srgbClr val="C0C0C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02E-4F4E-BD70-3015D2B12DCC}"/>
              </c:ext>
            </c:extLst>
          </c:dPt>
          <c:dPt>
            <c:idx val="17"/>
            <c:bubble3D val="0"/>
            <c:spPr>
              <a:ln w="12700">
                <a:solidFill>
                  <a:srgbClr val="C0C0C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02E-4F4E-BD70-3015D2B12DCC}"/>
              </c:ext>
            </c:extLst>
          </c:dPt>
          <c:cat>
            <c:strRef>
              <c:f>RESULTADOS!$I$107:$I$124</c:f>
              <c:strCache>
                <c:ptCount val="18"/>
                <c:pt idx="0">
                  <c:v>  </c:v>
                </c:pt>
                <c:pt idx="1">
                  <c:v>X</c:v>
                </c:pt>
                <c:pt idx="2">
                  <c:v>Y</c:v>
                </c:pt>
                <c:pt idx="3">
                  <c:v>Z</c:v>
                </c:pt>
                <c:pt idx="4">
                  <c:v>   </c:v>
                </c:pt>
                <c:pt idx="5">
                  <c:v>1</c:v>
                </c:pt>
                <c:pt idx="6">
                  <c:v>2A</c:v>
                </c:pt>
                <c:pt idx="7">
                  <c:v>2B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6A</c:v>
                </c:pt>
                <c:pt idx="12">
                  <c:v>6B</c:v>
                </c:pt>
                <c:pt idx="13">
                  <c:v>7</c:v>
                </c:pt>
                <c:pt idx="14">
                  <c:v>8A</c:v>
                </c:pt>
                <c:pt idx="15">
                  <c:v>8B</c:v>
                </c:pt>
                <c:pt idx="16">
                  <c:v>9</c:v>
                </c:pt>
                <c:pt idx="17">
                  <c:v>  </c:v>
                </c:pt>
              </c:strCache>
            </c:strRef>
          </c:cat>
          <c:val>
            <c:numRef>
              <c:f>RESULTADOS!$N$107:$N$124</c:f>
              <c:numCache>
                <c:formatCode>General</c:formatCode>
                <c:ptCount val="18"/>
                <c:pt idx="0">
                  <c:v>115</c:v>
                </c:pt>
                <c:pt idx="1">
                  <c:v>37</c:v>
                </c:pt>
                <c:pt idx="2">
                  <c:v>41</c:v>
                </c:pt>
                <c:pt idx="3">
                  <c:v>34</c:v>
                </c:pt>
                <c:pt idx="4">
                  <c:v>33</c:v>
                </c:pt>
                <c:pt idx="5">
                  <c:v>26</c:v>
                </c:pt>
                <c:pt idx="6">
                  <c:v>20</c:v>
                </c:pt>
                <c:pt idx="7">
                  <c:v>37</c:v>
                </c:pt>
                <c:pt idx="8">
                  <c:v>42</c:v>
                </c:pt>
                <c:pt idx="9">
                  <c:v>72</c:v>
                </c:pt>
                <c:pt idx="10">
                  <c:v>56</c:v>
                </c:pt>
                <c:pt idx="11">
                  <c:v>49</c:v>
                </c:pt>
                <c:pt idx="12">
                  <c:v>45</c:v>
                </c:pt>
                <c:pt idx="13">
                  <c:v>54</c:v>
                </c:pt>
                <c:pt idx="14">
                  <c:v>47</c:v>
                </c:pt>
                <c:pt idx="15">
                  <c:v>38</c:v>
                </c:pt>
                <c:pt idx="16">
                  <c:v>40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02E-4F4E-BD70-3015D2B12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124879"/>
        <c:axId val="1"/>
      </c:lineChart>
      <c:catAx>
        <c:axId val="1421124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112487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95928128914351E-2"/>
          <c:y val="0.10038628963993432"/>
          <c:w val="0.87347025816152957"/>
          <c:h val="0.72200908317952761"/>
        </c:manualLayout>
      </c:layout>
      <c:lineChart>
        <c:grouping val="standard"/>
        <c:varyColors val="0"/>
        <c:ser>
          <c:idx val="1"/>
          <c:order val="0"/>
          <c:cat>
            <c:strRef>
              <c:f>RESULTADOS!$I$125:$I$142</c:f>
              <c:strCache>
                <c:ptCount val="18"/>
                <c:pt idx="0">
                  <c:v>  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E</c:v>
                </c:pt>
                <c:pt idx="6">
                  <c:v>F</c:v>
                </c:pt>
                <c:pt idx="7">
                  <c:v>G</c:v>
                </c:pt>
                <c:pt idx="8">
                  <c:v>H</c:v>
                </c:pt>
                <c:pt idx="9">
                  <c:v>  </c:v>
                </c:pt>
                <c:pt idx="10">
                  <c:v>AA</c:v>
                </c:pt>
                <c:pt idx="11">
                  <c:v>BB</c:v>
                </c:pt>
                <c:pt idx="12">
                  <c:v>CC</c:v>
                </c:pt>
                <c:pt idx="13">
                  <c:v>DD</c:v>
                </c:pt>
                <c:pt idx="14">
                  <c:v>EE</c:v>
                </c:pt>
                <c:pt idx="15">
                  <c:v>FF</c:v>
                </c:pt>
                <c:pt idx="16">
                  <c:v>GG</c:v>
                </c:pt>
                <c:pt idx="17">
                  <c:v>  </c:v>
                </c:pt>
              </c:strCache>
            </c:strRef>
          </c:cat>
          <c:val>
            <c:numRef>
              <c:f>RESULTADOS!$J$125:$J$142</c:f>
            </c:numRef>
          </c:val>
          <c:smooth val="0"/>
          <c:extLst>
            <c:ext xmlns:c16="http://schemas.microsoft.com/office/drawing/2014/chart" uri="{C3380CC4-5D6E-409C-BE32-E72D297353CC}">
              <c16:uniqueId val="{00000000-D091-4013-880D-147B27DC2E8A}"/>
            </c:ext>
          </c:extLst>
        </c:ser>
        <c:ser>
          <c:idx val="2"/>
          <c:order val="1"/>
          <c:cat>
            <c:strRef>
              <c:f>RESULTADOS!$I$125:$I$142</c:f>
              <c:strCache>
                <c:ptCount val="18"/>
                <c:pt idx="0">
                  <c:v>  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E</c:v>
                </c:pt>
                <c:pt idx="6">
                  <c:v>F</c:v>
                </c:pt>
                <c:pt idx="7">
                  <c:v>G</c:v>
                </c:pt>
                <c:pt idx="8">
                  <c:v>H</c:v>
                </c:pt>
                <c:pt idx="9">
                  <c:v>  </c:v>
                </c:pt>
                <c:pt idx="10">
                  <c:v>AA</c:v>
                </c:pt>
                <c:pt idx="11">
                  <c:v>BB</c:v>
                </c:pt>
                <c:pt idx="12">
                  <c:v>CC</c:v>
                </c:pt>
                <c:pt idx="13">
                  <c:v>DD</c:v>
                </c:pt>
                <c:pt idx="14">
                  <c:v>EE</c:v>
                </c:pt>
                <c:pt idx="15">
                  <c:v>FF</c:v>
                </c:pt>
                <c:pt idx="16">
                  <c:v>GG</c:v>
                </c:pt>
                <c:pt idx="17">
                  <c:v>  </c:v>
                </c:pt>
              </c:strCache>
            </c:strRef>
          </c:cat>
          <c:val>
            <c:numRef>
              <c:f>RESULTADOS!$K$125:$K$142</c:f>
            </c:numRef>
          </c:val>
          <c:smooth val="0"/>
          <c:extLst>
            <c:ext xmlns:c16="http://schemas.microsoft.com/office/drawing/2014/chart" uri="{C3380CC4-5D6E-409C-BE32-E72D297353CC}">
              <c16:uniqueId val="{00000001-D091-4013-880D-147B27DC2E8A}"/>
            </c:ext>
          </c:extLst>
        </c:ser>
        <c:ser>
          <c:idx val="3"/>
          <c:order val="2"/>
          <c:cat>
            <c:strRef>
              <c:f>RESULTADOS!$I$125:$I$142</c:f>
              <c:strCache>
                <c:ptCount val="18"/>
                <c:pt idx="0">
                  <c:v>  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E</c:v>
                </c:pt>
                <c:pt idx="6">
                  <c:v>F</c:v>
                </c:pt>
                <c:pt idx="7">
                  <c:v>G</c:v>
                </c:pt>
                <c:pt idx="8">
                  <c:v>H</c:v>
                </c:pt>
                <c:pt idx="9">
                  <c:v>  </c:v>
                </c:pt>
                <c:pt idx="10">
                  <c:v>AA</c:v>
                </c:pt>
                <c:pt idx="11">
                  <c:v>BB</c:v>
                </c:pt>
                <c:pt idx="12">
                  <c:v>CC</c:v>
                </c:pt>
                <c:pt idx="13">
                  <c:v>DD</c:v>
                </c:pt>
                <c:pt idx="14">
                  <c:v>EE</c:v>
                </c:pt>
                <c:pt idx="15">
                  <c:v>FF</c:v>
                </c:pt>
                <c:pt idx="16">
                  <c:v>GG</c:v>
                </c:pt>
                <c:pt idx="17">
                  <c:v>  </c:v>
                </c:pt>
              </c:strCache>
            </c:strRef>
          </c:cat>
          <c:val>
            <c:numRef>
              <c:f>RESULTADOS!$L$125:$L$142</c:f>
            </c:numRef>
          </c:val>
          <c:smooth val="0"/>
          <c:extLst>
            <c:ext xmlns:c16="http://schemas.microsoft.com/office/drawing/2014/chart" uri="{C3380CC4-5D6E-409C-BE32-E72D297353CC}">
              <c16:uniqueId val="{00000002-D091-4013-880D-147B27DC2E8A}"/>
            </c:ext>
          </c:extLst>
        </c:ser>
        <c:ser>
          <c:idx val="4"/>
          <c:order val="3"/>
          <c:cat>
            <c:strRef>
              <c:f>RESULTADOS!$I$125:$I$142</c:f>
              <c:strCache>
                <c:ptCount val="18"/>
                <c:pt idx="0">
                  <c:v>  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E</c:v>
                </c:pt>
                <c:pt idx="6">
                  <c:v>F</c:v>
                </c:pt>
                <c:pt idx="7">
                  <c:v>G</c:v>
                </c:pt>
                <c:pt idx="8">
                  <c:v>H</c:v>
                </c:pt>
                <c:pt idx="9">
                  <c:v>  </c:v>
                </c:pt>
                <c:pt idx="10">
                  <c:v>AA</c:v>
                </c:pt>
                <c:pt idx="11">
                  <c:v>BB</c:v>
                </c:pt>
                <c:pt idx="12">
                  <c:v>CC</c:v>
                </c:pt>
                <c:pt idx="13">
                  <c:v>DD</c:v>
                </c:pt>
                <c:pt idx="14">
                  <c:v>EE</c:v>
                </c:pt>
                <c:pt idx="15">
                  <c:v>FF</c:v>
                </c:pt>
                <c:pt idx="16">
                  <c:v>GG</c:v>
                </c:pt>
                <c:pt idx="17">
                  <c:v>  </c:v>
                </c:pt>
              </c:strCache>
            </c:strRef>
          </c:cat>
          <c:val>
            <c:numRef>
              <c:f>RESULTADOS!$M$125:$M$142</c:f>
            </c:numRef>
          </c:val>
          <c:smooth val="0"/>
          <c:extLst>
            <c:ext xmlns:c16="http://schemas.microsoft.com/office/drawing/2014/chart" uri="{C3380CC4-5D6E-409C-BE32-E72D297353CC}">
              <c16:uniqueId val="{00000003-D091-4013-880D-147B27DC2E8A}"/>
            </c:ext>
          </c:extLst>
        </c:ser>
        <c:ser>
          <c:idx val="0"/>
          <c:order val="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"/>
            <c:bubble3D val="0"/>
            <c:spPr>
              <a:ln w="12700">
                <a:solidFill>
                  <a:srgbClr val="C0C0C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091-4013-880D-147B27DC2E8A}"/>
              </c:ext>
            </c:extLst>
          </c:dPt>
          <c:dPt>
            <c:idx val="9"/>
            <c:bubble3D val="0"/>
            <c:spPr>
              <a:ln w="12700">
                <a:solidFill>
                  <a:srgbClr val="C0C0C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091-4013-880D-147B27DC2E8A}"/>
              </c:ext>
            </c:extLst>
          </c:dPt>
          <c:dPt>
            <c:idx val="10"/>
            <c:bubble3D val="0"/>
            <c:spPr>
              <a:ln w="12700">
                <a:solidFill>
                  <a:srgbClr val="C0C0C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091-4013-880D-147B27DC2E8A}"/>
              </c:ext>
            </c:extLst>
          </c:dPt>
          <c:dPt>
            <c:idx val="17"/>
            <c:bubble3D val="0"/>
            <c:spPr>
              <a:ln w="12700">
                <a:solidFill>
                  <a:srgbClr val="C0C0C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091-4013-880D-147B27DC2E8A}"/>
              </c:ext>
            </c:extLst>
          </c:dPt>
          <c:cat>
            <c:strRef>
              <c:f>RESULTADOS!$I$125:$I$142</c:f>
              <c:strCache>
                <c:ptCount val="18"/>
                <c:pt idx="0">
                  <c:v>  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E</c:v>
                </c:pt>
                <c:pt idx="6">
                  <c:v>F</c:v>
                </c:pt>
                <c:pt idx="7">
                  <c:v>G</c:v>
                </c:pt>
                <c:pt idx="8">
                  <c:v>H</c:v>
                </c:pt>
                <c:pt idx="9">
                  <c:v>  </c:v>
                </c:pt>
                <c:pt idx="10">
                  <c:v>AA</c:v>
                </c:pt>
                <c:pt idx="11">
                  <c:v>BB</c:v>
                </c:pt>
                <c:pt idx="12">
                  <c:v>CC</c:v>
                </c:pt>
                <c:pt idx="13">
                  <c:v>DD</c:v>
                </c:pt>
                <c:pt idx="14">
                  <c:v>EE</c:v>
                </c:pt>
                <c:pt idx="15">
                  <c:v>FF</c:v>
                </c:pt>
                <c:pt idx="16">
                  <c:v>GG</c:v>
                </c:pt>
                <c:pt idx="17">
                  <c:v>  </c:v>
                </c:pt>
              </c:strCache>
            </c:strRef>
          </c:cat>
          <c:val>
            <c:numRef>
              <c:f>RESULTADOS!$N$125:$N$142</c:f>
              <c:numCache>
                <c:formatCode>General</c:formatCode>
                <c:ptCount val="18"/>
                <c:pt idx="0">
                  <c:v>115</c:v>
                </c:pt>
                <c:pt idx="1">
                  <c:v>31</c:v>
                </c:pt>
                <c:pt idx="2">
                  <c:v>33</c:v>
                </c:pt>
                <c:pt idx="3">
                  <c:v>46</c:v>
                </c:pt>
                <c:pt idx="4">
                  <c:v>74</c:v>
                </c:pt>
                <c:pt idx="5">
                  <c:v>48</c:v>
                </c:pt>
                <c:pt idx="6">
                  <c:v>81</c:v>
                </c:pt>
                <c:pt idx="7">
                  <c:v>43</c:v>
                </c:pt>
                <c:pt idx="8">
                  <c:v>78</c:v>
                </c:pt>
                <c:pt idx="9">
                  <c:v>44</c:v>
                </c:pt>
                <c:pt idx="10">
                  <c:v>50</c:v>
                </c:pt>
                <c:pt idx="11">
                  <c:v>64</c:v>
                </c:pt>
                <c:pt idx="12">
                  <c:v>79</c:v>
                </c:pt>
                <c:pt idx="13">
                  <c:v>53</c:v>
                </c:pt>
                <c:pt idx="14">
                  <c:v>23</c:v>
                </c:pt>
                <c:pt idx="15">
                  <c:v>15</c:v>
                </c:pt>
                <c:pt idx="16">
                  <c:v>43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091-4013-880D-147B27DC2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111439"/>
        <c:axId val="1"/>
      </c:lineChart>
      <c:catAx>
        <c:axId val="1421111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111143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340995</xdr:colOff>
      <xdr:row>14</xdr:row>
      <xdr:rowOff>9525</xdr:rowOff>
    </xdr:from>
    <xdr:to>
      <xdr:col>18</xdr:col>
      <xdr:colOff>28575</xdr:colOff>
      <xdr:row>22</xdr:row>
      <xdr:rowOff>19050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48C7182E-BB3B-E261-454C-0E54AFBC6CFB}"/>
            </a:ext>
          </a:extLst>
        </xdr:cNvPr>
        <xdr:cNvSpPr>
          <a:spLocks noChangeArrowheads="1"/>
        </xdr:cNvSpPr>
      </xdr:nvSpPr>
      <xdr:spPr>
        <a:xfrm>
          <a:off x="4038600" y="2495550"/>
          <a:ext cx="1981200" cy="1304925"/>
        </a:xfrm>
        <a:prstGeom prst="leftArrow">
          <a:avLst>
            <a:gd name="adj1" fmla="val 50000"/>
            <a:gd name="adj2" fmla="val 37956"/>
          </a:avLst>
        </a:prstGeom>
        <a:solidFill>
          <a:srgbClr val="33CCCC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COLOCA "V" ó "F" SEGÚN LAS RESPUESTAS DEL EXAMINADO</a:t>
          </a:r>
        </a:p>
        <a:p>
          <a:pPr algn="l" rtl="1">
            <a:defRPr sz="1000"/>
          </a:pPr>
          <a:endParaRPr lang="es-ES" sz="1000" b="0" i="0" strike="noStrike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419100</xdr:colOff>
      <xdr:row>36</xdr:row>
      <xdr:rowOff>99060</xdr:rowOff>
    </xdr:to>
    <xdr:graphicFrame macro="">
      <xdr:nvGraphicFramePr>
        <xdr:cNvPr id="32781" name="Gráfico 1">
          <a:extLst>
            <a:ext uri="{FF2B5EF4-FFF2-40B4-BE49-F238E27FC236}">
              <a16:creationId xmlns:a16="http://schemas.microsoft.com/office/drawing/2014/main" id="{6C664FAC-CAFD-2F4E-4B5C-FE0201C68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449580</xdr:colOff>
      <xdr:row>35</xdr:row>
      <xdr:rowOff>38100</xdr:rowOff>
    </xdr:to>
    <xdr:graphicFrame macro="">
      <xdr:nvGraphicFramePr>
        <xdr:cNvPr id="33805" name="Gráfico 1">
          <a:extLst>
            <a:ext uri="{FF2B5EF4-FFF2-40B4-BE49-F238E27FC236}">
              <a16:creationId xmlns:a16="http://schemas.microsoft.com/office/drawing/2014/main" id="{96DD0D0E-B49E-859E-A90E-E25B01A58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20</xdr:row>
      <xdr:rowOff>22860</xdr:rowOff>
    </xdr:from>
    <xdr:to>
      <xdr:col>9</xdr:col>
      <xdr:colOff>624840</xdr:colOff>
      <xdr:row>32</xdr:row>
      <xdr:rowOff>129540</xdr:rowOff>
    </xdr:to>
    <xdr:graphicFrame macro="">
      <xdr:nvGraphicFramePr>
        <xdr:cNvPr id="31769" name="Chart 2">
          <a:extLst>
            <a:ext uri="{FF2B5EF4-FFF2-40B4-BE49-F238E27FC236}">
              <a16:creationId xmlns:a16="http://schemas.microsoft.com/office/drawing/2014/main" id="{E90EA9F3-0C53-52E2-EEA6-0832AA465B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</xdr:colOff>
      <xdr:row>32</xdr:row>
      <xdr:rowOff>160020</xdr:rowOff>
    </xdr:from>
    <xdr:to>
      <xdr:col>9</xdr:col>
      <xdr:colOff>647700</xdr:colOff>
      <xdr:row>48</xdr:row>
      <xdr:rowOff>30480</xdr:rowOff>
    </xdr:to>
    <xdr:graphicFrame macro="">
      <xdr:nvGraphicFramePr>
        <xdr:cNvPr id="31770" name="Chart 3">
          <a:extLst>
            <a:ext uri="{FF2B5EF4-FFF2-40B4-BE49-F238E27FC236}">
              <a16:creationId xmlns:a16="http://schemas.microsoft.com/office/drawing/2014/main" id="{9EB348E3-5DE7-8930-3FCB-6CF2276C32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actiweb.es/testsinformatizados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actiweb.es/testsinformatizad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5CE62-9F4D-4C8B-B195-C8FE6948C060}">
  <dimension ref="A2:T38"/>
  <sheetViews>
    <sheetView tabSelected="1" workbookViewId="0">
      <selection activeCell="N11" sqref="N11"/>
    </sheetView>
  </sheetViews>
  <sheetFormatPr baseColWidth="10" defaultColWidth="11.44140625" defaultRowHeight="13.2" x14ac:dyDescent="0.25"/>
  <cols>
    <col min="1" max="1" width="10" style="4" bestFit="1" customWidth="1"/>
    <col min="2" max="2" width="3.44140625" style="4" customWidth="1"/>
    <col min="3" max="3" width="2.33203125" style="4" bestFit="1" customWidth="1"/>
    <col min="4" max="4" width="3" style="4" bestFit="1" customWidth="1"/>
    <col min="5" max="5" width="2.33203125" style="4" bestFit="1" customWidth="1"/>
    <col min="6" max="6" width="5.5546875" style="4" bestFit="1" customWidth="1"/>
    <col min="7" max="7" width="2.33203125" style="4" bestFit="1" customWidth="1"/>
    <col min="8" max="8" width="4" style="4" bestFit="1" customWidth="1"/>
    <col min="9" max="9" width="2.33203125" style="4" bestFit="1" customWidth="1"/>
    <col min="10" max="10" width="4" style="4" bestFit="1" customWidth="1"/>
    <col min="11" max="11" width="2.109375" style="4" bestFit="1" customWidth="1"/>
    <col min="12" max="12" width="4" style="4" bestFit="1" customWidth="1"/>
    <col min="13" max="13" width="2.33203125" style="4" bestFit="1" customWidth="1"/>
    <col min="14" max="14" width="4" style="4" bestFit="1" customWidth="1"/>
    <col min="15" max="15" width="4" style="4" customWidth="1"/>
    <col min="16" max="19" width="11.44140625" style="4"/>
    <col min="20" max="20" width="17.44140625" style="4" customWidth="1"/>
    <col min="21" max="16384" width="11.44140625" style="4"/>
  </cols>
  <sheetData>
    <row r="2" spans="1:20" ht="21" x14ac:dyDescent="0.4">
      <c r="J2" s="70" t="s">
        <v>0</v>
      </c>
      <c r="K2" s="71"/>
      <c r="L2" s="71"/>
      <c r="M2" s="71"/>
      <c r="N2" s="71"/>
      <c r="O2" s="71"/>
      <c r="P2" s="71"/>
      <c r="Q2" s="71"/>
      <c r="R2" s="71"/>
      <c r="S2" s="71"/>
      <c r="T2" s="72"/>
    </row>
    <row r="3" spans="1:20" ht="21" x14ac:dyDescent="0.4">
      <c r="Q3" s="70" t="s">
        <v>1</v>
      </c>
      <c r="R3" s="72"/>
    </row>
    <row r="4" spans="1:20" x14ac:dyDescent="0.25">
      <c r="A4" s="68" t="s">
        <v>2</v>
      </c>
      <c r="B4" s="4" t="s">
        <v>3</v>
      </c>
    </row>
    <row r="5" spans="1:20" x14ac:dyDescent="0.25">
      <c r="A5" s="68" t="s">
        <v>4</v>
      </c>
      <c r="B5" s="4" t="s">
        <v>5</v>
      </c>
    </row>
    <row r="6" spans="1:20" x14ac:dyDescent="0.25">
      <c r="A6" s="68" t="s">
        <v>6</v>
      </c>
      <c r="B6" s="4" t="s">
        <v>7</v>
      </c>
    </row>
    <row r="7" spans="1:20" x14ac:dyDescent="0.25">
      <c r="A7" s="68" t="s">
        <v>8</v>
      </c>
      <c r="B7" s="4">
        <v>10</v>
      </c>
    </row>
    <row r="8" spans="1:20" x14ac:dyDescent="0.25">
      <c r="A8" s="68" t="s">
        <v>9</v>
      </c>
      <c r="B8" s="4" t="s">
        <v>10</v>
      </c>
    </row>
    <row r="9" spans="1:20" x14ac:dyDescent="0.25">
      <c r="A9" s="68" t="s">
        <v>11</v>
      </c>
      <c r="B9" s="4" t="s">
        <v>12</v>
      </c>
    </row>
    <row r="10" spans="1:20" x14ac:dyDescent="0.25">
      <c r="A10" s="68" t="s">
        <v>13</v>
      </c>
      <c r="B10" s="4" t="s">
        <v>14</v>
      </c>
      <c r="F10" s="4">
        <v>2025</v>
      </c>
    </row>
    <row r="13" spans="1:20" x14ac:dyDescent="0.25">
      <c r="B13" s="69" t="s">
        <v>15</v>
      </c>
      <c r="C13" s="69" t="s">
        <v>16</v>
      </c>
      <c r="D13" s="69" t="s">
        <v>15</v>
      </c>
      <c r="E13" s="69" t="s">
        <v>16</v>
      </c>
      <c r="F13" s="69" t="s">
        <v>15</v>
      </c>
      <c r="G13" s="69" t="s">
        <v>16</v>
      </c>
      <c r="H13" s="69" t="s">
        <v>15</v>
      </c>
      <c r="I13" s="69" t="s">
        <v>16</v>
      </c>
      <c r="J13" s="69" t="s">
        <v>15</v>
      </c>
      <c r="K13" s="69" t="s">
        <v>16</v>
      </c>
      <c r="L13" s="69" t="s">
        <v>15</v>
      </c>
      <c r="M13" s="69" t="s">
        <v>16</v>
      </c>
      <c r="N13" s="69" t="s">
        <v>15</v>
      </c>
      <c r="O13" s="69" t="s">
        <v>16</v>
      </c>
    </row>
    <row r="14" spans="1:20" x14ac:dyDescent="0.25">
      <c r="B14" s="69">
        <v>1</v>
      </c>
      <c r="C14" s="12" t="s">
        <v>17</v>
      </c>
      <c r="D14" s="69">
        <v>26</v>
      </c>
      <c r="E14" s="12" t="s">
        <v>17</v>
      </c>
      <c r="F14" s="69">
        <v>51</v>
      </c>
      <c r="G14" s="12" t="s">
        <v>17</v>
      </c>
      <c r="H14" s="69">
        <v>76</v>
      </c>
      <c r="I14" s="12" t="s">
        <v>17</v>
      </c>
      <c r="J14" s="69">
        <v>101</v>
      </c>
      <c r="K14" s="12" t="s">
        <v>17</v>
      </c>
      <c r="L14" s="69">
        <v>126</v>
      </c>
      <c r="M14" s="12" t="s">
        <v>17</v>
      </c>
      <c r="N14" s="69">
        <v>151</v>
      </c>
      <c r="O14" s="12" t="s">
        <v>17</v>
      </c>
    </row>
    <row r="15" spans="1:20" x14ac:dyDescent="0.25">
      <c r="B15" s="69">
        <v>2</v>
      </c>
      <c r="C15" s="12" t="s">
        <v>18</v>
      </c>
      <c r="D15" s="69">
        <v>27</v>
      </c>
      <c r="E15" s="12" t="s">
        <v>17</v>
      </c>
      <c r="F15" s="69">
        <v>52</v>
      </c>
      <c r="G15" s="12" t="s">
        <v>17</v>
      </c>
      <c r="H15" s="69">
        <v>77</v>
      </c>
      <c r="I15" s="12" t="s">
        <v>18</v>
      </c>
      <c r="J15" s="69">
        <v>102</v>
      </c>
      <c r="K15" s="12" t="s">
        <v>17</v>
      </c>
      <c r="L15" s="69">
        <v>127</v>
      </c>
      <c r="M15" s="12" t="s">
        <v>17</v>
      </c>
      <c r="N15" s="69">
        <v>152</v>
      </c>
      <c r="O15" s="12" t="s">
        <v>17</v>
      </c>
    </row>
    <row r="16" spans="1:20" x14ac:dyDescent="0.25">
      <c r="B16" s="69">
        <v>3</v>
      </c>
      <c r="C16" s="12" t="s">
        <v>17</v>
      </c>
      <c r="D16" s="69">
        <v>28</v>
      </c>
      <c r="E16" s="12" t="s">
        <v>17</v>
      </c>
      <c r="F16" s="69">
        <v>53</v>
      </c>
      <c r="G16" s="12" t="s">
        <v>17</v>
      </c>
      <c r="H16" s="69">
        <v>78</v>
      </c>
      <c r="I16" s="12" t="s">
        <v>17</v>
      </c>
      <c r="J16" s="69">
        <v>103</v>
      </c>
      <c r="K16" s="12" t="s">
        <v>17</v>
      </c>
      <c r="L16" s="69">
        <v>128</v>
      </c>
      <c r="M16" s="12" t="s">
        <v>17</v>
      </c>
      <c r="N16" s="69">
        <v>153</v>
      </c>
      <c r="O16" s="12" t="s">
        <v>17</v>
      </c>
    </row>
    <row r="17" spans="2:15" x14ac:dyDescent="0.25">
      <c r="B17" s="69">
        <v>4</v>
      </c>
      <c r="C17" s="12" t="s">
        <v>18</v>
      </c>
      <c r="D17" s="69">
        <v>29</v>
      </c>
      <c r="E17" s="12" t="s">
        <v>17</v>
      </c>
      <c r="F17" s="69">
        <v>54</v>
      </c>
      <c r="G17" s="12" t="s">
        <v>18</v>
      </c>
      <c r="H17" s="69">
        <v>79</v>
      </c>
      <c r="I17" s="12" t="s">
        <v>17</v>
      </c>
      <c r="J17" s="69">
        <v>104</v>
      </c>
      <c r="K17" s="12" t="s">
        <v>17</v>
      </c>
      <c r="L17" s="69">
        <v>129</v>
      </c>
      <c r="M17" s="12" t="s">
        <v>18</v>
      </c>
      <c r="N17" s="69">
        <v>154</v>
      </c>
      <c r="O17" s="12" t="s">
        <v>17</v>
      </c>
    </row>
    <row r="18" spans="2:15" x14ac:dyDescent="0.25">
      <c r="B18" s="69">
        <v>5</v>
      </c>
      <c r="C18" s="12" t="s">
        <v>17</v>
      </c>
      <c r="D18" s="69">
        <v>30</v>
      </c>
      <c r="E18" s="12" t="s">
        <v>17</v>
      </c>
      <c r="F18" s="69">
        <v>55</v>
      </c>
      <c r="G18" s="12" t="s">
        <v>17</v>
      </c>
      <c r="H18" s="69">
        <v>80</v>
      </c>
      <c r="I18" s="12" t="s">
        <v>17</v>
      </c>
      <c r="J18" s="69">
        <v>105</v>
      </c>
      <c r="K18" s="12" t="s">
        <v>17</v>
      </c>
      <c r="L18" s="69">
        <v>130</v>
      </c>
      <c r="M18" s="12" t="s">
        <v>17</v>
      </c>
      <c r="N18" s="69">
        <v>155</v>
      </c>
      <c r="O18" s="12" t="s">
        <v>17</v>
      </c>
    </row>
    <row r="19" spans="2:15" x14ac:dyDescent="0.25">
      <c r="B19" s="69">
        <v>6</v>
      </c>
      <c r="C19" s="12" t="s">
        <v>18</v>
      </c>
      <c r="D19" s="69">
        <v>31</v>
      </c>
      <c r="E19" s="12" t="s">
        <v>17</v>
      </c>
      <c r="F19" s="69">
        <v>56</v>
      </c>
      <c r="G19" s="12" t="s">
        <v>17</v>
      </c>
      <c r="H19" s="69">
        <v>81</v>
      </c>
      <c r="I19" s="12" t="s">
        <v>18</v>
      </c>
      <c r="J19" s="69">
        <v>106</v>
      </c>
      <c r="K19" s="12" t="s">
        <v>17</v>
      </c>
      <c r="L19" s="69">
        <v>131</v>
      </c>
      <c r="M19" s="12" t="s">
        <v>17</v>
      </c>
      <c r="N19" s="69">
        <v>156</v>
      </c>
      <c r="O19" s="12" t="s">
        <v>17</v>
      </c>
    </row>
    <row r="20" spans="2:15" x14ac:dyDescent="0.25">
      <c r="B20" s="69">
        <v>7</v>
      </c>
      <c r="C20" s="12" t="s">
        <v>17</v>
      </c>
      <c r="D20" s="69">
        <v>32</v>
      </c>
      <c r="E20" s="12" t="s">
        <v>17</v>
      </c>
      <c r="F20" s="69">
        <v>57</v>
      </c>
      <c r="G20" s="12" t="s">
        <v>17</v>
      </c>
      <c r="H20" s="69">
        <v>82</v>
      </c>
      <c r="I20" s="12" t="s">
        <v>17</v>
      </c>
      <c r="J20" s="69">
        <v>107</v>
      </c>
      <c r="K20" s="12" t="s">
        <v>17</v>
      </c>
      <c r="L20" s="69">
        <v>132</v>
      </c>
      <c r="M20" s="12" t="s">
        <v>17</v>
      </c>
      <c r="N20" s="69">
        <v>157</v>
      </c>
      <c r="O20" s="12" t="s">
        <v>17</v>
      </c>
    </row>
    <row r="21" spans="2:15" x14ac:dyDescent="0.25">
      <c r="B21" s="69">
        <v>8</v>
      </c>
      <c r="C21" s="12" t="s">
        <v>17</v>
      </c>
      <c r="D21" s="69">
        <v>33</v>
      </c>
      <c r="E21" s="12" t="s">
        <v>17</v>
      </c>
      <c r="F21" s="69">
        <v>58</v>
      </c>
      <c r="G21" s="12" t="s">
        <v>17</v>
      </c>
      <c r="H21" s="69">
        <v>83</v>
      </c>
      <c r="I21" s="12" t="s">
        <v>17</v>
      </c>
      <c r="J21" s="69">
        <v>108</v>
      </c>
      <c r="K21" s="12" t="s">
        <v>18</v>
      </c>
      <c r="L21" s="69">
        <v>133</v>
      </c>
      <c r="M21" s="12" t="s">
        <v>17</v>
      </c>
      <c r="N21" s="69">
        <v>158</v>
      </c>
      <c r="O21" s="12" t="s">
        <v>17</v>
      </c>
    </row>
    <row r="22" spans="2:15" x14ac:dyDescent="0.25">
      <c r="B22" s="69">
        <v>9</v>
      </c>
      <c r="C22" s="12" t="s">
        <v>18</v>
      </c>
      <c r="D22" s="69">
        <v>34</v>
      </c>
      <c r="E22" s="12" t="s">
        <v>17</v>
      </c>
      <c r="F22" s="69">
        <v>59</v>
      </c>
      <c r="G22" s="12" t="s">
        <v>17</v>
      </c>
      <c r="H22" s="69">
        <v>84</v>
      </c>
      <c r="I22" s="12" t="s">
        <v>17</v>
      </c>
      <c r="J22" s="69">
        <v>109</v>
      </c>
      <c r="K22" s="12" t="s">
        <v>18</v>
      </c>
      <c r="L22" s="69">
        <v>134</v>
      </c>
      <c r="M22" s="12" t="s">
        <v>17</v>
      </c>
      <c r="N22" s="69">
        <v>159</v>
      </c>
      <c r="O22" s="12" t="s">
        <v>18</v>
      </c>
    </row>
    <row r="23" spans="2:15" x14ac:dyDescent="0.25">
      <c r="B23" s="69">
        <v>10</v>
      </c>
      <c r="C23" s="12" t="s">
        <v>18</v>
      </c>
      <c r="D23" s="69">
        <v>35</v>
      </c>
      <c r="E23" s="12" t="s">
        <v>17</v>
      </c>
      <c r="F23" s="69">
        <v>60</v>
      </c>
      <c r="G23" s="12" t="s">
        <v>17</v>
      </c>
      <c r="H23" s="69">
        <v>85</v>
      </c>
      <c r="I23" s="12" t="s">
        <v>17</v>
      </c>
      <c r="J23" s="69">
        <v>110</v>
      </c>
      <c r="K23" s="12" t="s">
        <v>18</v>
      </c>
      <c r="L23" s="69">
        <v>135</v>
      </c>
      <c r="M23" s="12" t="s">
        <v>17</v>
      </c>
      <c r="N23" s="69">
        <v>160</v>
      </c>
      <c r="O23" s="12" t="s">
        <v>17</v>
      </c>
    </row>
    <row r="24" spans="2:15" x14ac:dyDescent="0.25">
      <c r="B24" s="69">
        <v>11</v>
      </c>
      <c r="C24" s="12" t="s">
        <v>18</v>
      </c>
      <c r="D24" s="69">
        <v>36</v>
      </c>
      <c r="E24" s="12" t="s">
        <v>18</v>
      </c>
      <c r="F24" s="69">
        <v>61</v>
      </c>
      <c r="G24" s="12" t="s">
        <v>17</v>
      </c>
      <c r="H24" s="69">
        <v>86</v>
      </c>
      <c r="I24" s="12" t="s">
        <v>17</v>
      </c>
      <c r="J24" s="69">
        <v>111</v>
      </c>
      <c r="K24" s="12" t="s">
        <v>17</v>
      </c>
      <c r="L24" s="69">
        <v>136</v>
      </c>
      <c r="M24" s="12" t="s">
        <v>17</v>
      </c>
      <c r="N24" s="13"/>
    </row>
    <row r="25" spans="2:15" x14ac:dyDescent="0.25">
      <c r="B25" s="69">
        <v>12</v>
      </c>
      <c r="C25" s="12" t="s">
        <v>17</v>
      </c>
      <c r="D25" s="69">
        <v>37</v>
      </c>
      <c r="E25" s="12" t="s">
        <v>18</v>
      </c>
      <c r="F25" s="69">
        <v>62</v>
      </c>
      <c r="G25" s="12" t="s">
        <v>18</v>
      </c>
      <c r="H25" s="69">
        <v>87</v>
      </c>
      <c r="I25" s="12" t="s">
        <v>17</v>
      </c>
      <c r="J25" s="69">
        <v>112</v>
      </c>
      <c r="K25" s="12" t="s">
        <v>17</v>
      </c>
      <c r="L25" s="69">
        <v>137</v>
      </c>
      <c r="M25" s="12" t="s">
        <v>18</v>
      </c>
      <c r="N25" s="13"/>
    </row>
    <row r="26" spans="2:15" x14ac:dyDescent="0.25">
      <c r="B26" s="69">
        <v>13</v>
      </c>
      <c r="C26" s="12" t="s">
        <v>17</v>
      </c>
      <c r="D26" s="69">
        <v>38</v>
      </c>
      <c r="E26" s="12" t="s">
        <v>18</v>
      </c>
      <c r="F26" s="69">
        <v>63</v>
      </c>
      <c r="G26" s="12" t="s">
        <v>18</v>
      </c>
      <c r="H26" s="69">
        <v>88</v>
      </c>
      <c r="I26" s="12" t="s">
        <v>17</v>
      </c>
      <c r="J26" s="69">
        <v>113</v>
      </c>
      <c r="K26" s="12" t="s">
        <v>17</v>
      </c>
      <c r="L26" s="69">
        <v>138</v>
      </c>
      <c r="M26" s="12" t="s">
        <v>17</v>
      </c>
      <c r="N26" s="13"/>
    </row>
    <row r="27" spans="2:15" x14ac:dyDescent="0.25">
      <c r="B27" s="69">
        <v>14</v>
      </c>
      <c r="C27" s="12" t="s">
        <v>18</v>
      </c>
      <c r="D27" s="69">
        <v>39</v>
      </c>
      <c r="E27" s="12" t="s">
        <v>17</v>
      </c>
      <c r="F27" s="69">
        <v>64</v>
      </c>
      <c r="G27" s="12" t="s">
        <v>17</v>
      </c>
      <c r="H27" s="69">
        <v>89</v>
      </c>
      <c r="I27" s="12" t="s">
        <v>17</v>
      </c>
      <c r="J27" s="69">
        <v>114</v>
      </c>
      <c r="K27" s="12" t="s">
        <v>17</v>
      </c>
      <c r="L27" s="69">
        <v>139</v>
      </c>
      <c r="M27" s="12" t="s">
        <v>17</v>
      </c>
      <c r="N27" s="13"/>
    </row>
    <row r="28" spans="2:15" x14ac:dyDescent="0.25">
      <c r="B28" s="69">
        <v>15</v>
      </c>
      <c r="C28" s="12" t="s">
        <v>17</v>
      </c>
      <c r="D28" s="69">
        <v>40</v>
      </c>
      <c r="E28" s="12" t="s">
        <v>17</v>
      </c>
      <c r="F28" s="69">
        <v>65</v>
      </c>
      <c r="G28" s="12" t="s">
        <v>17</v>
      </c>
      <c r="H28" s="69">
        <v>90</v>
      </c>
      <c r="I28" s="12" t="s">
        <v>17</v>
      </c>
      <c r="J28" s="69">
        <v>115</v>
      </c>
      <c r="K28" s="12" t="s">
        <v>17</v>
      </c>
      <c r="L28" s="69">
        <v>140</v>
      </c>
      <c r="M28" s="12" t="s">
        <v>17</v>
      </c>
      <c r="N28" s="13"/>
    </row>
    <row r="29" spans="2:15" x14ac:dyDescent="0.25">
      <c r="B29" s="69">
        <v>16</v>
      </c>
      <c r="C29" s="12" t="s">
        <v>17</v>
      </c>
      <c r="D29" s="69">
        <v>41</v>
      </c>
      <c r="E29" s="12" t="s">
        <v>18</v>
      </c>
      <c r="F29" s="69">
        <v>66</v>
      </c>
      <c r="G29" s="12" t="s">
        <v>17</v>
      </c>
      <c r="H29" s="69">
        <v>91</v>
      </c>
      <c r="I29" s="12" t="s">
        <v>17</v>
      </c>
      <c r="J29" s="69">
        <v>116</v>
      </c>
      <c r="K29" s="12" t="s">
        <v>17</v>
      </c>
      <c r="L29" s="69">
        <v>141</v>
      </c>
      <c r="M29" s="12" t="s">
        <v>17</v>
      </c>
      <c r="N29" s="13"/>
    </row>
    <row r="30" spans="2:15" x14ac:dyDescent="0.25">
      <c r="B30" s="69">
        <v>17</v>
      </c>
      <c r="C30" s="12" t="s">
        <v>17</v>
      </c>
      <c r="D30" s="69">
        <v>42</v>
      </c>
      <c r="E30" s="12" t="s">
        <v>17</v>
      </c>
      <c r="F30" s="69">
        <v>67</v>
      </c>
      <c r="G30" s="12" t="s">
        <v>17</v>
      </c>
      <c r="H30" s="69">
        <v>92</v>
      </c>
      <c r="I30" s="12" t="s">
        <v>17</v>
      </c>
      <c r="J30" s="69">
        <v>117</v>
      </c>
      <c r="K30" s="12" t="s">
        <v>17</v>
      </c>
      <c r="L30" s="69">
        <v>142</v>
      </c>
      <c r="M30" s="12" t="s">
        <v>17</v>
      </c>
      <c r="N30" s="13"/>
    </row>
    <row r="31" spans="2:15" x14ac:dyDescent="0.25">
      <c r="B31" s="69">
        <v>18</v>
      </c>
      <c r="C31" s="12" t="s">
        <v>18</v>
      </c>
      <c r="D31" s="69">
        <v>43</v>
      </c>
      <c r="E31" s="12" t="s">
        <v>17</v>
      </c>
      <c r="F31" s="69">
        <v>68</v>
      </c>
      <c r="G31" s="12" t="s">
        <v>17</v>
      </c>
      <c r="H31" s="69">
        <v>93</v>
      </c>
      <c r="I31" s="12" t="s">
        <v>18</v>
      </c>
      <c r="J31" s="69">
        <v>118</v>
      </c>
      <c r="K31" s="12" t="s">
        <v>18</v>
      </c>
      <c r="L31" s="69">
        <v>143</v>
      </c>
      <c r="M31" s="12" t="s">
        <v>17</v>
      </c>
      <c r="N31" s="13"/>
    </row>
    <row r="32" spans="2:15" x14ac:dyDescent="0.25">
      <c r="B32" s="69">
        <v>19</v>
      </c>
      <c r="C32" s="12" t="s">
        <v>17</v>
      </c>
      <c r="D32" s="69">
        <v>44</v>
      </c>
      <c r="E32" s="12" t="s">
        <v>18</v>
      </c>
      <c r="F32" s="69">
        <v>69</v>
      </c>
      <c r="G32" s="12" t="s">
        <v>17</v>
      </c>
      <c r="H32" s="69">
        <v>94</v>
      </c>
      <c r="I32" s="12" t="s">
        <v>17</v>
      </c>
      <c r="J32" s="69">
        <v>119</v>
      </c>
      <c r="K32" s="12" t="s">
        <v>17</v>
      </c>
      <c r="L32" s="69">
        <v>144</v>
      </c>
      <c r="M32" s="12" t="s">
        <v>17</v>
      </c>
      <c r="N32" s="13"/>
    </row>
    <row r="33" spans="2:14" x14ac:dyDescent="0.25">
      <c r="B33" s="69">
        <v>20</v>
      </c>
      <c r="C33" s="12" t="s">
        <v>18</v>
      </c>
      <c r="D33" s="69">
        <v>45</v>
      </c>
      <c r="E33" s="12" t="s">
        <v>17</v>
      </c>
      <c r="F33" s="69">
        <v>70</v>
      </c>
      <c r="G33" s="12" t="s">
        <v>18</v>
      </c>
      <c r="H33" s="69">
        <v>95</v>
      </c>
      <c r="I33" s="12" t="s">
        <v>17</v>
      </c>
      <c r="J33" s="69">
        <v>120</v>
      </c>
      <c r="K33" s="12" t="s">
        <v>17</v>
      </c>
      <c r="L33" s="69">
        <v>145</v>
      </c>
      <c r="M33" s="12" t="s">
        <v>17</v>
      </c>
      <c r="N33" s="13"/>
    </row>
    <row r="34" spans="2:14" x14ac:dyDescent="0.25">
      <c r="B34" s="69">
        <v>21</v>
      </c>
      <c r="C34" s="12" t="s">
        <v>17</v>
      </c>
      <c r="D34" s="69">
        <v>46</v>
      </c>
      <c r="E34" s="12" t="s">
        <v>18</v>
      </c>
      <c r="F34" s="69">
        <v>71</v>
      </c>
      <c r="G34" s="12" t="s">
        <v>18</v>
      </c>
      <c r="H34" s="69">
        <v>96</v>
      </c>
      <c r="I34" s="12" t="s">
        <v>18</v>
      </c>
      <c r="J34" s="69">
        <v>121</v>
      </c>
      <c r="K34" s="12" t="s">
        <v>17</v>
      </c>
      <c r="L34" s="69">
        <v>146</v>
      </c>
      <c r="M34" s="12" t="s">
        <v>17</v>
      </c>
      <c r="N34" s="13"/>
    </row>
    <row r="35" spans="2:14" x14ac:dyDescent="0.25">
      <c r="B35" s="69">
        <v>22</v>
      </c>
      <c r="C35" s="12" t="s">
        <v>17</v>
      </c>
      <c r="D35" s="69">
        <v>47</v>
      </c>
      <c r="E35" s="12" t="s">
        <v>17</v>
      </c>
      <c r="F35" s="69">
        <v>72</v>
      </c>
      <c r="G35" s="12" t="s">
        <v>18</v>
      </c>
      <c r="H35" s="69">
        <v>97</v>
      </c>
      <c r="I35" s="12" t="s">
        <v>17</v>
      </c>
      <c r="J35" s="69">
        <v>122</v>
      </c>
      <c r="K35" s="12" t="s">
        <v>17</v>
      </c>
      <c r="L35" s="69">
        <v>147</v>
      </c>
      <c r="M35" s="12" t="s">
        <v>17</v>
      </c>
      <c r="N35" s="13"/>
    </row>
    <row r="36" spans="2:14" x14ac:dyDescent="0.25">
      <c r="B36" s="69">
        <v>23</v>
      </c>
      <c r="C36" s="12" t="s">
        <v>17</v>
      </c>
      <c r="D36" s="69">
        <v>48</v>
      </c>
      <c r="E36" s="12" t="s">
        <v>18</v>
      </c>
      <c r="F36" s="69">
        <v>73</v>
      </c>
      <c r="G36" s="12" t="s">
        <v>17</v>
      </c>
      <c r="H36" s="69">
        <v>98</v>
      </c>
      <c r="I36" s="12" t="s">
        <v>17</v>
      </c>
      <c r="J36" s="69">
        <v>123</v>
      </c>
      <c r="K36" s="12" t="s">
        <v>17</v>
      </c>
      <c r="L36" s="69">
        <v>148</v>
      </c>
      <c r="M36" s="12" t="s">
        <v>17</v>
      </c>
      <c r="N36" s="13"/>
    </row>
    <row r="37" spans="2:14" x14ac:dyDescent="0.25">
      <c r="B37" s="69">
        <v>24</v>
      </c>
      <c r="C37" s="12" t="s">
        <v>18</v>
      </c>
      <c r="D37" s="69">
        <v>49</v>
      </c>
      <c r="E37" s="12" t="s">
        <v>18</v>
      </c>
      <c r="F37" s="69">
        <v>74</v>
      </c>
      <c r="G37" s="12" t="s">
        <v>17</v>
      </c>
      <c r="H37" s="69">
        <v>99</v>
      </c>
      <c r="I37" s="12" t="s">
        <v>17</v>
      </c>
      <c r="J37" s="69">
        <v>124</v>
      </c>
      <c r="K37" s="12" t="s">
        <v>18</v>
      </c>
      <c r="L37" s="69">
        <v>149</v>
      </c>
      <c r="M37" s="12" t="s">
        <v>17</v>
      </c>
      <c r="N37" s="13"/>
    </row>
    <row r="38" spans="2:14" x14ac:dyDescent="0.25">
      <c r="B38" s="69">
        <v>25</v>
      </c>
      <c r="C38" s="12" t="s">
        <v>17</v>
      </c>
      <c r="D38" s="69">
        <v>50</v>
      </c>
      <c r="E38" s="12" t="s">
        <v>17</v>
      </c>
      <c r="F38" s="69">
        <v>75</v>
      </c>
      <c r="G38" s="12" t="s">
        <v>18</v>
      </c>
      <c r="H38" s="69">
        <v>100</v>
      </c>
      <c r="I38" s="12" t="s">
        <v>17</v>
      </c>
      <c r="J38" s="69">
        <v>125</v>
      </c>
      <c r="K38" s="12" t="s">
        <v>17</v>
      </c>
      <c r="L38" s="69">
        <v>150</v>
      </c>
      <c r="M38" s="12" t="s">
        <v>17</v>
      </c>
      <c r="N38" s="13"/>
    </row>
  </sheetData>
  <mergeCells count="2">
    <mergeCell ref="J2:T2"/>
    <mergeCell ref="Q3:R3"/>
  </mergeCells>
  <pageMargins left="0.75" right="0.75" top="1" bottom="1" header="0" footer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AD9B8-4154-4E8D-B43C-8ACC3AA1F087}">
  <dimension ref="A1:IU614"/>
  <sheetViews>
    <sheetView topLeftCell="H67" zoomScale="85" workbookViewId="0">
      <selection activeCell="HQ81" sqref="HQ81"/>
    </sheetView>
  </sheetViews>
  <sheetFormatPr baseColWidth="10" defaultColWidth="11.44140625" defaultRowHeight="13.2" x14ac:dyDescent="0.25"/>
  <cols>
    <col min="1" max="1" width="11.88671875" style="4" hidden="1" customWidth="1"/>
    <col min="2" max="5" width="3" style="4" hidden="1" customWidth="1"/>
    <col min="6" max="6" width="3.109375" style="4" hidden="1" customWidth="1"/>
    <col min="7" max="7" width="3" style="4" hidden="1" customWidth="1"/>
    <col min="8" max="8" width="4" style="4" bestFit="1" customWidth="1"/>
    <col min="9" max="9" width="34.6640625" style="4" bestFit="1" customWidth="1"/>
    <col min="10" max="12" width="4" style="4" hidden="1" customWidth="1"/>
    <col min="13" max="13" width="2.33203125" style="4" hidden="1" customWidth="1"/>
    <col min="14" max="14" width="6.109375" style="3" bestFit="1" customWidth="1"/>
    <col min="15" max="15" width="5.109375" style="3" customWidth="1"/>
    <col min="16" max="16" width="2.109375" style="4" hidden="1" customWidth="1"/>
    <col min="17" max="17" width="24.44140625" style="4" hidden="1" customWidth="1"/>
    <col min="18" max="20" width="2.109375" style="4" hidden="1" customWidth="1"/>
    <col min="21" max="21" width="1" style="4" hidden="1" customWidth="1"/>
    <col min="22" max="22" width="17.44140625" style="4" hidden="1" customWidth="1"/>
    <col min="23" max="23" width="4" style="4" hidden="1" customWidth="1"/>
    <col min="24" max="24" width="11.6640625" style="4" hidden="1" customWidth="1"/>
    <col min="25" max="25" width="2.109375" style="4" hidden="1" customWidth="1"/>
    <col min="26" max="26" width="17.6640625" style="4" hidden="1" customWidth="1"/>
    <col min="27" max="28" width="2.109375" style="4" hidden="1" customWidth="1"/>
    <col min="29" max="29" width="2" style="4" hidden="1" customWidth="1"/>
    <col min="30" max="30" width="12.44140625" style="4" hidden="1" customWidth="1"/>
    <col min="31" max="31" width="3.109375" style="4" hidden="1" customWidth="1"/>
    <col min="32" max="32" width="11.6640625" style="4" hidden="1" customWidth="1"/>
    <col min="33" max="33" width="3.109375" style="4" hidden="1" customWidth="1"/>
    <col min="34" max="34" width="17.6640625" style="4" hidden="1" customWidth="1"/>
    <col min="35" max="36" width="2.109375" style="4" hidden="1" customWidth="1"/>
    <col min="37" max="37" width="3.88671875" style="4" hidden="1" customWidth="1"/>
    <col min="38" max="38" width="12.44140625" style="4" hidden="1" customWidth="1"/>
    <col min="39" max="40" width="3.109375" style="4" hidden="1" customWidth="1"/>
    <col min="41" max="41" width="11.6640625" style="4" hidden="1" customWidth="1"/>
    <col min="42" max="42" width="3.109375" style="4" hidden="1" customWidth="1"/>
    <col min="43" max="45" width="2.109375" style="4" hidden="1" customWidth="1"/>
    <col min="46" max="46" width="12.44140625" style="4" hidden="1" customWidth="1"/>
    <col min="47" max="47" width="9.88671875" style="4" bestFit="1" customWidth="1"/>
    <col min="48" max="48" width="31.33203125" style="4" customWidth="1"/>
    <col min="49" max="52" width="3.109375" style="4" hidden="1" customWidth="1"/>
    <col min="53" max="53" width="4.44140625" style="4" hidden="1" customWidth="1"/>
    <col min="54" max="57" width="3.109375" style="4" hidden="1" customWidth="1"/>
    <col min="58" max="58" width="4" style="4" hidden="1" customWidth="1"/>
    <col min="59" max="66" width="3.109375" style="4" hidden="1" customWidth="1"/>
    <col min="67" max="67" width="4.5546875" style="4" hidden="1" customWidth="1"/>
    <col min="68" max="70" width="3.109375" style="4" hidden="1" customWidth="1"/>
    <col min="71" max="71" width="4" style="4" hidden="1" customWidth="1"/>
    <col min="72" max="72" width="5.109375" style="4" hidden="1" customWidth="1"/>
    <col min="73" max="73" width="4" style="4" hidden="1" customWidth="1"/>
    <col min="74" max="74" width="3" style="4" hidden="1" customWidth="1"/>
    <col min="75" max="75" width="4.44140625" style="4" hidden="1" customWidth="1"/>
    <col min="76" max="103" width="4" style="4" hidden="1" customWidth="1"/>
    <col min="104" max="104" width="5.33203125" style="4" hidden="1" customWidth="1"/>
    <col min="105" max="132" width="4" style="4" hidden="1" customWidth="1"/>
    <col min="133" max="133" width="4.109375" style="4" hidden="1" customWidth="1"/>
    <col min="134" max="190" width="4" style="4" hidden="1" customWidth="1"/>
    <col min="191" max="219" width="11.44140625" style="4" hidden="1" customWidth="1"/>
    <col min="220" max="16384" width="11.44140625" style="4"/>
  </cols>
  <sheetData>
    <row r="1" spans="22:196" hidden="1" x14ac:dyDescent="0.25"/>
    <row r="2" spans="22:196" hidden="1" x14ac:dyDescent="0.25"/>
    <row r="3" spans="22:196" hidden="1" x14ac:dyDescent="0.25"/>
    <row r="4" spans="22:196" hidden="1" x14ac:dyDescent="0.25"/>
    <row r="5" spans="22:196" hidden="1" x14ac:dyDescent="0.25"/>
    <row r="6" spans="22:196" hidden="1" x14ac:dyDescent="0.25"/>
    <row r="7" spans="22:196" hidden="1" x14ac:dyDescent="0.25"/>
    <row r="8" spans="22:196" hidden="1" x14ac:dyDescent="0.25"/>
    <row r="9" spans="22:196" hidden="1" x14ac:dyDescent="0.25"/>
    <row r="10" spans="22:196" hidden="1" x14ac:dyDescent="0.25"/>
    <row r="11" spans="22:196" hidden="1" x14ac:dyDescent="0.25"/>
    <row r="12" spans="22:196" hidden="1" x14ac:dyDescent="0.25"/>
    <row r="13" spans="22:196" hidden="1" x14ac:dyDescent="0.25">
      <c r="BW13" s="4" t="s">
        <v>19</v>
      </c>
      <c r="CZ13" s="4" t="s">
        <v>20</v>
      </c>
      <c r="EC13" s="4" t="s">
        <v>21</v>
      </c>
      <c r="FF13" s="4" t="s">
        <v>22</v>
      </c>
      <c r="GK13" s="4" t="s">
        <v>23</v>
      </c>
      <c r="GL13" s="4" t="s">
        <v>24</v>
      </c>
      <c r="GM13" s="4">
        <v>3</v>
      </c>
      <c r="GN13" s="4">
        <v>4</v>
      </c>
    </row>
    <row r="14" spans="22:196" hidden="1" x14ac:dyDescent="0.25">
      <c r="V14" s="12" t="s">
        <v>15</v>
      </c>
      <c r="W14" s="13"/>
      <c r="BW14" s="4">
        <v>1</v>
      </c>
      <c r="BX14" s="4" t="s">
        <v>25</v>
      </c>
      <c r="BY14" s="4" t="s">
        <v>26</v>
      </c>
      <c r="BZ14" s="4">
        <v>3</v>
      </c>
      <c r="CA14" s="4">
        <v>4</v>
      </c>
      <c r="CB14" s="4">
        <v>5</v>
      </c>
      <c r="CC14" s="4" t="s">
        <v>27</v>
      </c>
      <c r="CD14" s="4" t="s">
        <v>28</v>
      </c>
      <c r="CE14" s="4">
        <v>7</v>
      </c>
      <c r="CF14" s="4" t="s">
        <v>29</v>
      </c>
      <c r="CG14" s="4" t="s">
        <v>30</v>
      </c>
      <c r="CH14" s="4">
        <v>9</v>
      </c>
      <c r="CI14" s="4" t="s">
        <v>31</v>
      </c>
      <c r="CJ14" s="4" t="s">
        <v>32</v>
      </c>
      <c r="CK14" s="4" t="s">
        <v>33</v>
      </c>
      <c r="CL14" s="4" t="s">
        <v>34</v>
      </c>
      <c r="CM14" s="4" t="s">
        <v>35</v>
      </c>
      <c r="CN14" s="4" t="s">
        <v>17</v>
      </c>
      <c r="CO14" s="4" t="s">
        <v>36</v>
      </c>
      <c r="CP14" s="4" t="s">
        <v>37</v>
      </c>
      <c r="CQ14" s="4" t="s">
        <v>38</v>
      </c>
      <c r="CR14" s="4" t="s">
        <v>39</v>
      </c>
      <c r="CS14" s="4" t="s">
        <v>40</v>
      </c>
      <c r="CT14" s="4" t="s">
        <v>41</v>
      </c>
      <c r="CU14" s="4" t="s">
        <v>42</v>
      </c>
      <c r="CV14" s="4" t="s">
        <v>43</v>
      </c>
      <c r="CW14" s="4" t="s">
        <v>44</v>
      </c>
      <c r="CX14" s="4" t="s">
        <v>45</v>
      </c>
      <c r="CY14" s="4" t="s">
        <v>46</v>
      </c>
      <c r="CZ14" s="4">
        <v>1</v>
      </c>
      <c r="DA14" s="4" t="s">
        <v>25</v>
      </c>
      <c r="DB14" s="4" t="s">
        <v>26</v>
      </c>
      <c r="DC14" s="4">
        <v>3</v>
      </c>
      <c r="DD14" s="4">
        <v>4</v>
      </c>
      <c r="DE14" s="4">
        <v>5</v>
      </c>
      <c r="DF14" s="4" t="s">
        <v>27</v>
      </c>
      <c r="DG14" s="4" t="s">
        <v>28</v>
      </c>
      <c r="DH14" s="4">
        <v>7</v>
      </c>
      <c r="DI14" s="4" t="s">
        <v>29</v>
      </c>
      <c r="DJ14" s="4" t="s">
        <v>30</v>
      </c>
      <c r="DK14" s="4">
        <v>9</v>
      </c>
      <c r="DL14" s="4" t="s">
        <v>31</v>
      </c>
      <c r="DM14" s="4" t="s">
        <v>32</v>
      </c>
      <c r="DN14" s="4" t="s">
        <v>33</v>
      </c>
      <c r="DO14" s="4" t="s">
        <v>34</v>
      </c>
      <c r="DP14" s="4" t="s">
        <v>35</v>
      </c>
      <c r="DQ14" s="4" t="s">
        <v>17</v>
      </c>
      <c r="DR14" s="4" t="s">
        <v>36</v>
      </c>
      <c r="DS14" s="4" t="s">
        <v>37</v>
      </c>
      <c r="DT14" s="4" t="s">
        <v>38</v>
      </c>
      <c r="DU14" s="4" t="s">
        <v>39</v>
      </c>
      <c r="DV14" s="4" t="s">
        <v>40</v>
      </c>
      <c r="DW14" s="4" t="s">
        <v>41</v>
      </c>
      <c r="DX14" s="4" t="s">
        <v>42</v>
      </c>
      <c r="DY14" s="4" t="s">
        <v>43</v>
      </c>
      <c r="DZ14" s="4" t="s">
        <v>44</v>
      </c>
      <c r="EA14" s="4" t="s">
        <v>45</v>
      </c>
      <c r="EB14" s="4" t="s">
        <v>46</v>
      </c>
      <c r="EC14" s="4">
        <v>1</v>
      </c>
      <c r="ED14" s="4" t="s">
        <v>25</v>
      </c>
      <c r="EE14" s="4" t="s">
        <v>26</v>
      </c>
      <c r="EF14" s="4">
        <v>3</v>
      </c>
      <c r="EG14" s="4">
        <v>4</v>
      </c>
      <c r="EH14" s="4">
        <v>5</v>
      </c>
      <c r="EI14" s="4" t="s">
        <v>27</v>
      </c>
      <c r="EJ14" s="4" t="s">
        <v>28</v>
      </c>
      <c r="EK14" s="4">
        <v>7</v>
      </c>
      <c r="EL14" s="4" t="s">
        <v>29</v>
      </c>
      <c r="EM14" s="4" t="s">
        <v>30</v>
      </c>
      <c r="EN14" s="4">
        <v>9</v>
      </c>
      <c r="EO14" s="4" t="s">
        <v>31</v>
      </c>
      <c r="EP14" s="4" t="s">
        <v>32</v>
      </c>
      <c r="EQ14" s="4" t="s">
        <v>33</v>
      </c>
      <c r="ER14" s="4" t="s">
        <v>34</v>
      </c>
      <c r="ES14" s="4" t="s">
        <v>35</v>
      </c>
      <c r="ET14" s="4" t="s">
        <v>17</v>
      </c>
      <c r="EU14" s="4" t="s">
        <v>36</v>
      </c>
      <c r="EV14" s="4" t="s">
        <v>37</v>
      </c>
      <c r="EW14" s="4" t="s">
        <v>38</v>
      </c>
      <c r="EX14" s="4" t="s">
        <v>39</v>
      </c>
      <c r="EY14" s="4" t="s">
        <v>40</v>
      </c>
      <c r="EZ14" s="4" t="s">
        <v>41</v>
      </c>
      <c r="FA14" s="4" t="s">
        <v>42</v>
      </c>
      <c r="FB14" s="4" t="s">
        <v>43</v>
      </c>
      <c r="FC14" s="4" t="s">
        <v>44</v>
      </c>
      <c r="FD14" s="4" t="s">
        <v>45</v>
      </c>
      <c r="FE14" s="4" t="s">
        <v>46</v>
      </c>
      <c r="FF14" s="4">
        <v>1</v>
      </c>
      <c r="FG14" s="4" t="s">
        <v>25</v>
      </c>
      <c r="FH14" s="4" t="s">
        <v>26</v>
      </c>
      <c r="FI14" s="4">
        <v>3</v>
      </c>
      <c r="FJ14" s="4">
        <v>4</v>
      </c>
      <c r="FK14" s="4">
        <v>5</v>
      </c>
      <c r="FL14" s="4" t="s">
        <v>27</v>
      </c>
      <c r="FM14" s="4" t="s">
        <v>28</v>
      </c>
      <c r="FN14" s="4">
        <v>7</v>
      </c>
      <c r="FO14" s="4" t="s">
        <v>29</v>
      </c>
      <c r="FP14" s="4" t="s">
        <v>30</v>
      </c>
      <c r="FQ14" s="4">
        <v>9</v>
      </c>
      <c r="FR14" s="4" t="s">
        <v>31</v>
      </c>
      <c r="FS14" s="4" t="s">
        <v>32</v>
      </c>
      <c r="FT14" s="4" t="s">
        <v>33</v>
      </c>
      <c r="FU14" s="4" t="s">
        <v>34</v>
      </c>
      <c r="FV14" s="4" t="s">
        <v>35</v>
      </c>
      <c r="FW14" s="4" t="s">
        <v>17</v>
      </c>
      <c r="FX14" s="4" t="s">
        <v>36</v>
      </c>
      <c r="FY14" s="4" t="s">
        <v>37</v>
      </c>
      <c r="FZ14" s="4" t="s">
        <v>38</v>
      </c>
      <c r="GA14" s="4" t="s">
        <v>39</v>
      </c>
      <c r="GB14" s="4" t="s">
        <v>40</v>
      </c>
      <c r="GC14" s="4" t="s">
        <v>41</v>
      </c>
      <c r="GD14" s="4" t="s">
        <v>42</v>
      </c>
      <c r="GE14" s="4" t="s">
        <v>43</v>
      </c>
      <c r="GF14" s="4" t="s">
        <v>44</v>
      </c>
      <c r="GG14" s="4" t="s">
        <v>45</v>
      </c>
      <c r="GH14" s="4" t="s">
        <v>46</v>
      </c>
      <c r="GJ14" s="4">
        <v>1</v>
      </c>
      <c r="GK14" s="4">
        <v>2</v>
      </c>
      <c r="GL14" s="4">
        <v>25</v>
      </c>
    </row>
    <row r="15" spans="22:196" hidden="1" x14ac:dyDescent="0.25">
      <c r="V15" s="12">
        <v>176</v>
      </c>
      <c r="W15" s="13"/>
      <c r="BV15" s="4">
        <v>0</v>
      </c>
      <c r="BW15" s="4">
        <v>0</v>
      </c>
      <c r="BX15" s="4">
        <v>0</v>
      </c>
      <c r="BY15" s="4">
        <v>7</v>
      </c>
      <c r="BZ15" s="4">
        <v>0</v>
      </c>
      <c r="CA15" s="4">
        <v>0</v>
      </c>
      <c r="CB15" s="4">
        <v>0</v>
      </c>
      <c r="CC15" s="4">
        <v>0</v>
      </c>
      <c r="CD15" s="4">
        <v>1</v>
      </c>
      <c r="CE15" s="4">
        <v>0</v>
      </c>
      <c r="CF15" s="4">
        <v>0</v>
      </c>
      <c r="CG15" s="4">
        <v>2</v>
      </c>
      <c r="CH15" s="4">
        <v>1</v>
      </c>
      <c r="CI15" s="4">
        <v>0</v>
      </c>
      <c r="CJ15" s="4">
        <v>0</v>
      </c>
      <c r="CK15" s="4">
        <v>20</v>
      </c>
      <c r="CL15" s="4">
        <v>0</v>
      </c>
      <c r="CM15" s="4">
        <v>1</v>
      </c>
      <c r="CN15" s="4">
        <v>0</v>
      </c>
      <c r="CO15" s="4">
        <v>0</v>
      </c>
      <c r="CP15" s="4">
        <v>5</v>
      </c>
      <c r="CQ15" s="4">
        <v>9</v>
      </c>
      <c r="CR15" s="4">
        <v>1</v>
      </c>
      <c r="CS15" s="4">
        <v>0</v>
      </c>
      <c r="CT15" s="4">
        <v>0</v>
      </c>
      <c r="CU15" s="4">
        <v>0</v>
      </c>
      <c r="CV15" s="4">
        <v>0</v>
      </c>
      <c r="CW15" s="4">
        <v>8</v>
      </c>
      <c r="CX15" s="4">
        <v>0</v>
      </c>
      <c r="CY15" s="4">
        <v>15</v>
      </c>
      <c r="CZ15" s="4">
        <v>0</v>
      </c>
      <c r="DA15" s="4">
        <v>1</v>
      </c>
      <c r="DB15" s="4">
        <v>4</v>
      </c>
      <c r="DC15" s="4">
        <v>0</v>
      </c>
      <c r="DD15" s="4">
        <v>0</v>
      </c>
      <c r="DE15" s="4">
        <v>0</v>
      </c>
      <c r="DF15" s="4">
        <v>0</v>
      </c>
      <c r="DG15" s="4">
        <v>1</v>
      </c>
      <c r="DH15" s="4">
        <v>0</v>
      </c>
      <c r="DI15" s="4">
        <v>0</v>
      </c>
      <c r="DJ15" s="4">
        <v>0</v>
      </c>
      <c r="DK15" s="4">
        <v>2</v>
      </c>
      <c r="DL15" s="4">
        <v>0</v>
      </c>
      <c r="DM15" s="4">
        <v>0</v>
      </c>
      <c r="DN15" s="4">
        <v>20</v>
      </c>
      <c r="DO15" s="4">
        <v>0</v>
      </c>
      <c r="DP15" s="4">
        <v>0</v>
      </c>
      <c r="DQ15" s="4">
        <v>0</v>
      </c>
      <c r="DR15" s="4">
        <v>0</v>
      </c>
      <c r="DS15" s="4">
        <v>10</v>
      </c>
      <c r="DT15" s="4">
        <v>11</v>
      </c>
      <c r="DU15" s="4">
        <v>2</v>
      </c>
      <c r="DV15" s="4">
        <v>0</v>
      </c>
      <c r="DW15" s="4">
        <v>0</v>
      </c>
      <c r="DX15" s="4">
        <v>0</v>
      </c>
      <c r="DY15" s="4">
        <v>0</v>
      </c>
      <c r="DZ15" s="4">
        <v>3</v>
      </c>
      <c r="EA15" s="4">
        <v>0</v>
      </c>
      <c r="EB15" s="4">
        <v>13</v>
      </c>
      <c r="EC15" s="4">
        <v>0</v>
      </c>
      <c r="ED15" s="4">
        <v>0</v>
      </c>
      <c r="EE15" s="4">
        <v>4</v>
      </c>
      <c r="EF15" s="4">
        <v>0</v>
      </c>
      <c r="EG15" s="4">
        <v>0</v>
      </c>
      <c r="EH15" s="4">
        <v>0</v>
      </c>
      <c r="EI15" s="4">
        <v>0</v>
      </c>
      <c r="EJ15" s="4">
        <v>5</v>
      </c>
      <c r="EK15" s="4">
        <v>0</v>
      </c>
      <c r="EL15" s="4">
        <v>0</v>
      </c>
      <c r="EM15" s="4">
        <v>1</v>
      </c>
      <c r="EN15" s="4">
        <v>1</v>
      </c>
      <c r="EO15" s="4">
        <v>0</v>
      </c>
      <c r="EP15" s="4">
        <v>1</v>
      </c>
      <c r="EQ15" s="4">
        <v>5</v>
      </c>
      <c r="ER15" s="4">
        <v>0</v>
      </c>
      <c r="ES15" s="4">
        <v>1</v>
      </c>
      <c r="ET15" s="4">
        <v>0</v>
      </c>
      <c r="EU15" s="4">
        <v>0</v>
      </c>
      <c r="EV15" s="4">
        <v>3</v>
      </c>
      <c r="EW15" s="4">
        <v>3</v>
      </c>
      <c r="EX15" s="4">
        <v>1</v>
      </c>
      <c r="EY15" s="4">
        <v>0</v>
      </c>
      <c r="EZ15" s="4">
        <v>0</v>
      </c>
      <c r="FA15" s="4">
        <v>0</v>
      </c>
      <c r="FB15" s="4">
        <v>0</v>
      </c>
      <c r="FC15" s="4">
        <v>5</v>
      </c>
      <c r="FD15" s="4">
        <v>0</v>
      </c>
      <c r="FE15" s="4">
        <v>8</v>
      </c>
      <c r="FF15" s="4">
        <v>0</v>
      </c>
      <c r="FG15" s="4">
        <v>0</v>
      </c>
      <c r="FH15" s="4">
        <v>1</v>
      </c>
      <c r="FI15" s="4">
        <v>0</v>
      </c>
      <c r="FJ15" s="4">
        <v>0</v>
      </c>
      <c r="FK15" s="4">
        <v>0</v>
      </c>
      <c r="FL15" s="4">
        <v>0</v>
      </c>
      <c r="FM15" s="4">
        <v>8</v>
      </c>
      <c r="FN15" s="4">
        <v>0</v>
      </c>
      <c r="FO15" s="4">
        <v>0</v>
      </c>
      <c r="FP15" s="4">
        <v>0</v>
      </c>
      <c r="FQ15" s="4">
        <v>1</v>
      </c>
      <c r="FR15" s="4">
        <v>0</v>
      </c>
      <c r="FS15" s="4">
        <v>1</v>
      </c>
      <c r="FT15" s="4">
        <v>9</v>
      </c>
      <c r="FU15" s="4">
        <v>0</v>
      </c>
      <c r="FV15" s="4">
        <v>1</v>
      </c>
      <c r="FW15" s="4">
        <v>0</v>
      </c>
      <c r="FX15" s="4">
        <v>0</v>
      </c>
      <c r="FY15" s="4">
        <v>1</v>
      </c>
      <c r="FZ15" s="4">
        <v>1</v>
      </c>
      <c r="GA15" s="4">
        <v>1</v>
      </c>
      <c r="GB15" s="4">
        <v>0</v>
      </c>
      <c r="GC15" s="4">
        <v>1</v>
      </c>
      <c r="GD15" s="4">
        <v>0</v>
      </c>
      <c r="GE15" s="4">
        <v>0</v>
      </c>
      <c r="GF15" s="4">
        <v>2</v>
      </c>
      <c r="GG15" s="4">
        <v>0</v>
      </c>
      <c r="GH15" s="4">
        <v>2</v>
      </c>
      <c r="GJ15" s="4">
        <v>2</v>
      </c>
      <c r="GK15" s="4">
        <v>2</v>
      </c>
      <c r="GL15" s="4">
        <v>25</v>
      </c>
    </row>
    <row r="16" spans="22:196" hidden="1" x14ac:dyDescent="0.25">
      <c r="V16" s="12">
        <v>177</v>
      </c>
      <c r="W16" s="13"/>
      <c r="BV16" s="4">
        <v>1</v>
      </c>
      <c r="BW16" s="4">
        <v>0</v>
      </c>
      <c r="BX16" s="4">
        <v>0</v>
      </c>
      <c r="BY16" s="4">
        <v>10</v>
      </c>
      <c r="BZ16" s="4">
        <v>0</v>
      </c>
      <c r="CA16" s="4">
        <v>1</v>
      </c>
      <c r="CB16" s="4">
        <v>0</v>
      </c>
      <c r="CC16" s="4">
        <v>0</v>
      </c>
      <c r="CD16" s="4">
        <v>12</v>
      </c>
      <c r="CE16" s="4">
        <v>0</v>
      </c>
      <c r="CF16" s="4">
        <v>0</v>
      </c>
      <c r="CG16" s="4">
        <v>4</v>
      </c>
      <c r="CH16" s="4">
        <v>1</v>
      </c>
      <c r="CI16" s="4">
        <v>1</v>
      </c>
      <c r="CJ16" s="4">
        <v>3</v>
      </c>
      <c r="CK16" s="4">
        <v>25</v>
      </c>
      <c r="CL16" s="4">
        <v>0</v>
      </c>
      <c r="CM16" s="4">
        <v>3</v>
      </c>
      <c r="CN16" s="4">
        <v>0</v>
      </c>
      <c r="CO16" s="4">
        <v>1</v>
      </c>
      <c r="CP16" s="4">
        <v>13</v>
      </c>
      <c r="CQ16" s="4">
        <v>20</v>
      </c>
      <c r="CR16" s="4">
        <v>5</v>
      </c>
      <c r="CS16" s="4">
        <v>0</v>
      </c>
      <c r="CT16" s="4">
        <v>0</v>
      </c>
      <c r="CU16" s="4">
        <v>0</v>
      </c>
      <c r="CV16" s="4">
        <v>1</v>
      </c>
      <c r="CW16" s="4">
        <v>20</v>
      </c>
      <c r="CX16" s="4">
        <v>0</v>
      </c>
      <c r="CY16" s="4">
        <v>34</v>
      </c>
      <c r="CZ16" s="4">
        <v>0</v>
      </c>
      <c r="DA16" s="4">
        <v>1</v>
      </c>
      <c r="DB16" s="4">
        <v>4</v>
      </c>
      <c r="DC16" s="4">
        <v>0</v>
      </c>
      <c r="DD16" s="4">
        <v>0</v>
      </c>
      <c r="DE16" s="4">
        <v>0</v>
      </c>
      <c r="DF16" s="4">
        <v>0</v>
      </c>
      <c r="DG16" s="4">
        <v>5</v>
      </c>
      <c r="DH16" s="4">
        <v>0</v>
      </c>
      <c r="DI16" s="4">
        <v>0</v>
      </c>
      <c r="DJ16" s="4">
        <v>3</v>
      </c>
      <c r="DK16" s="4">
        <v>2</v>
      </c>
      <c r="DL16" s="4">
        <v>0</v>
      </c>
      <c r="DM16" s="4">
        <v>0</v>
      </c>
      <c r="DN16" s="4">
        <v>24</v>
      </c>
      <c r="DO16" s="4">
        <v>0</v>
      </c>
      <c r="DP16" s="4">
        <v>2</v>
      </c>
      <c r="DQ16" s="4">
        <v>0</v>
      </c>
      <c r="DR16" s="4">
        <v>0</v>
      </c>
      <c r="DS16" s="4">
        <v>20</v>
      </c>
      <c r="DT16" s="4">
        <v>21</v>
      </c>
      <c r="DU16" s="4">
        <v>6</v>
      </c>
      <c r="DV16" s="4">
        <v>0</v>
      </c>
      <c r="DW16" s="4">
        <v>0</v>
      </c>
      <c r="DX16" s="4">
        <v>0</v>
      </c>
      <c r="DY16" s="4">
        <v>1</v>
      </c>
      <c r="DZ16" s="4">
        <v>10</v>
      </c>
      <c r="EA16" s="4">
        <v>0</v>
      </c>
      <c r="EB16" s="4">
        <v>34</v>
      </c>
      <c r="EC16" s="4">
        <v>0</v>
      </c>
      <c r="ED16" s="4">
        <v>0</v>
      </c>
      <c r="EE16" s="4">
        <v>5</v>
      </c>
      <c r="EF16" s="4">
        <v>0</v>
      </c>
      <c r="EG16" s="4">
        <v>0</v>
      </c>
      <c r="EH16" s="4">
        <v>0</v>
      </c>
      <c r="EI16" s="4">
        <v>0</v>
      </c>
      <c r="EJ16" s="4">
        <v>20</v>
      </c>
      <c r="EK16" s="4">
        <v>0</v>
      </c>
      <c r="EL16" s="4">
        <v>0</v>
      </c>
      <c r="EM16" s="4">
        <v>2</v>
      </c>
      <c r="EN16" s="4">
        <v>1</v>
      </c>
      <c r="EO16" s="4">
        <v>0</v>
      </c>
      <c r="EP16" s="4">
        <v>1</v>
      </c>
      <c r="EQ16" s="4">
        <v>9</v>
      </c>
      <c r="ER16" s="4">
        <v>0</v>
      </c>
      <c r="ES16" s="4">
        <v>2</v>
      </c>
      <c r="ET16" s="4">
        <v>0</v>
      </c>
      <c r="EU16" s="4">
        <v>1</v>
      </c>
      <c r="EV16" s="4">
        <v>8</v>
      </c>
      <c r="EW16" s="4">
        <v>8</v>
      </c>
      <c r="EX16" s="4">
        <v>3</v>
      </c>
      <c r="EY16" s="4">
        <v>0</v>
      </c>
      <c r="EZ16" s="4">
        <v>1</v>
      </c>
      <c r="FA16" s="4">
        <v>0</v>
      </c>
      <c r="FB16" s="4">
        <v>1</v>
      </c>
      <c r="FC16" s="4">
        <v>12</v>
      </c>
      <c r="FD16" s="4">
        <v>1</v>
      </c>
      <c r="FE16" s="4">
        <v>19</v>
      </c>
      <c r="FF16" s="4">
        <v>0</v>
      </c>
      <c r="FG16" s="4">
        <v>0</v>
      </c>
      <c r="FH16" s="4">
        <v>2</v>
      </c>
      <c r="FI16" s="4">
        <v>0</v>
      </c>
      <c r="FJ16" s="4">
        <v>0</v>
      </c>
      <c r="FK16" s="4">
        <v>1</v>
      </c>
      <c r="FL16" s="4">
        <v>1</v>
      </c>
      <c r="FM16" s="4">
        <v>20</v>
      </c>
      <c r="FN16" s="4">
        <v>0</v>
      </c>
      <c r="FO16" s="4">
        <v>0</v>
      </c>
      <c r="FP16" s="4">
        <v>0</v>
      </c>
      <c r="FQ16" s="4">
        <v>1</v>
      </c>
      <c r="FR16" s="4">
        <v>1</v>
      </c>
      <c r="FS16" s="4">
        <v>1</v>
      </c>
      <c r="FT16" s="4">
        <v>16</v>
      </c>
      <c r="FU16" s="4">
        <v>0</v>
      </c>
      <c r="FV16" s="4">
        <v>2</v>
      </c>
      <c r="FW16" s="4">
        <v>1</v>
      </c>
      <c r="FX16" s="4">
        <v>0</v>
      </c>
      <c r="FY16" s="4">
        <v>6</v>
      </c>
      <c r="FZ16" s="4">
        <v>4</v>
      </c>
      <c r="GA16" s="4">
        <v>7</v>
      </c>
      <c r="GB16" s="4">
        <v>0</v>
      </c>
      <c r="GC16" s="4">
        <v>2</v>
      </c>
      <c r="GD16" s="4">
        <v>0</v>
      </c>
      <c r="GE16" s="4">
        <v>0</v>
      </c>
      <c r="GF16" s="4">
        <v>7</v>
      </c>
      <c r="GG16" s="4">
        <v>0</v>
      </c>
      <c r="GH16" s="4">
        <v>12</v>
      </c>
      <c r="GJ16" s="4">
        <v>3</v>
      </c>
      <c r="GK16" s="4">
        <v>2</v>
      </c>
      <c r="GL16" s="4">
        <v>25</v>
      </c>
    </row>
    <row r="17" spans="19:194" hidden="1" x14ac:dyDescent="0.25">
      <c r="V17" s="12">
        <v>178</v>
      </c>
      <c r="W17" s="13"/>
      <c r="BV17" s="4">
        <v>2</v>
      </c>
      <c r="BW17" s="4">
        <v>0</v>
      </c>
      <c r="BX17" s="4">
        <v>1</v>
      </c>
      <c r="BY17" s="4">
        <v>12</v>
      </c>
      <c r="BZ17" s="4">
        <v>0</v>
      </c>
      <c r="CA17" s="4">
        <v>1</v>
      </c>
      <c r="CB17" s="4">
        <v>0</v>
      </c>
      <c r="CC17" s="4">
        <v>0</v>
      </c>
      <c r="CD17" s="4">
        <v>20</v>
      </c>
      <c r="CE17" s="4">
        <v>0</v>
      </c>
      <c r="CF17" s="4">
        <v>1</v>
      </c>
      <c r="CG17" s="4">
        <v>5</v>
      </c>
      <c r="CH17" s="4">
        <v>3</v>
      </c>
      <c r="CI17" s="4">
        <v>2</v>
      </c>
      <c r="CJ17" s="4">
        <v>6</v>
      </c>
      <c r="CK17" s="4">
        <v>34</v>
      </c>
      <c r="CL17" s="4">
        <v>0</v>
      </c>
      <c r="CM17" s="4">
        <v>9</v>
      </c>
      <c r="CN17" s="4">
        <v>0</v>
      </c>
      <c r="CO17" s="4">
        <v>1</v>
      </c>
      <c r="CP17" s="4">
        <v>20</v>
      </c>
      <c r="CQ17" s="4">
        <v>31</v>
      </c>
      <c r="CR17" s="4">
        <v>12</v>
      </c>
      <c r="CS17" s="4">
        <v>1</v>
      </c>
      <c r="CT17" s="4">
        <v>1</v>
      </c>
      <c r="CU17" s="4">
        <v>0</v>
      </c>
      <c r="CV17" s="4">
        <v>1</v>
      </c>
      <c r="CW17" s="4">
        <v>29</v>
      </c>
      <c r="CX17" s="4">
        <v>1</v>
      </c>
      <c r="CY17" s="4">
        <v>46</v>
      </c>
      <c r="CZ17" s="4">
        <v>0</v>
      </c>
      <c r="DA17" s="4">
        <v>1</v>
      </c>
      <c r="DB17" s="4">
        <v>10</v>
      </c>
      <c r="DC17" s="4">
        <v>0</v>
      </c>
      <c r="DD17" s="4">
        <v>0</v>
      </c>
      <c r="DE17" s="4">
        <v>0</v>
      </c>
      <c r="DF17" s="4">
        <v>0</v>
      </c>
      <c r="DG17" s="4">
        <v>11</v>
      </c>
      <c r="DH17" s="4">
        <v>0</v>
      </c>
      <c r="DI17" s="4">
        <v>0</v>
      </c>
      <c r="DJ17" s="4">
        <v>3</v>
      </c>
      <c r="DK17" s="4">
        <v>8</v>
      </c>
      <c r="DL17" s="4">
        <v>2</v>
      </c>
      <c r="DM17" s="4">
        <v>0</v>
      </c>
      <c r="DN17" s="4">
        <v>32</v>
      </c>
      <c r="DO17" s="4">
        <v>0</v>
      </c>
      <c r="DP17" s="4">
        <v>15</v>
      </c>
      <c r="DQ17" s="4">
        <v>0</v>
      </c>
      <c r="DR17" s="4">
        <v>0</v>
      </c>
      <c r="DS17" s="4">
        <v>24</v>
      </c>
      <c r="DT17" s="4">
        <v>31</v>
      </c>
      <c r="DU17" s="4">
        <v>10</v>
      </c>
      <c r="DV17" s="4">
        <v>0</v>
      </c>
      <c r="DW17" s="4">
        <v>2</v>
      </c>
      <c r="DX17" s="4">
        <v>0</v>
      </c>
      <c r="DY17" s="4">
        <v>3</v>
      </c>
      <c r="DZ17" s="4">
        <v>18</v>
      </c>
      <c r="EA17" s="4">
        <v>2</v>
      </c>
      <c r="EB17" s="4">
        <v>44</v>
      </c>
      <c r="EC17" s="4">
        <v>0</v>
      </c>
      <c r="ED17" s="4">
        <v>0</v>
      </c>
      <c r="EE17" s="4">
        <v>8</v>
      </c>
      <c r="EF17" s="4">
        <v>0</v>
      </c>
      <c r="EG17" s="4">
        <v>1</v>
      </c>
      <c r="EH17" s="4">
        <v>0</v>
      </c>
      <c r="EI17" s="4">
        <v>0</v>
      </c>
      <c r="EJ17" s="4">
        <v>27</v>
      </c>
      <c r="EK17" s="4">
        <v>0</v>
      </c>
      <c r="EL17" s="4">
        <v>0</v>
      </c>
      <c r="EM17" s="4">
        <v>3</v>
      </c>
      <c r="EN17" s="4">
        <v>3</v>
      </c>
      <c r="EO17" s="4">
        <v>1</v>
      </c>
      <c r="EP17" s="4">
        <v>2</v>
      </c>
      <c r="EQ17" s="4">
        <v>12</v>
      </c>
      <c r="ER17" s="4">
        <v>0</v>
      </c>
      <c r="ES17" s="4">
        <v>3</v>
      </c>
      <c r="ET17" s="4">
        <v>2</v>
      </c>
      <c r="EU17" s="4">
        <v>2</v>
      </c>
      <c r="EV17" s="4">
        <v>15</v>
      </c>
      <c r="EW17" s="4">
        <v>11</v>
      </c>
      <c r="EX17" s="4">
        <v>7</v>
      </c>
      <c r="EY17" s="4">
        <v>1</v>
      </c>
      <c r="EZ17" s="4">
        <v>2</v>
      </c>
      <c r="FA17" s="4">
        <v>0</v>
      </c>
      <c r="FB17" s="4">
        <v>1</v>
      </c>
      <c r="FC17" s="4">
        <v>18</v>
      </c>
      <c r="FD17" s="4">
        <v>1</v>
      </c>
      <c r="FE17" s="4">
        <v>34</v>
      </c>
      <c r="FF17" s="4">
        <v>0</v>
      </c>
      <c r="FG17" s="4">
        <v>0</v>
      </c>
      <c r="FH17" s="4">
        <v>3</v>
      </c>
      <c r="FI17" s="4">
        <v>0</v>
      </c>
      <c r="FJ17" s="4">
        <v>0</v>
      </c>
      <c r="FK17" s="4">
        <v>2</v>
      </c>
      <c r="FL17" s="4">
        <v>1</v>
      </c>
      <c r="FM17" s="4">
        <v>26</v>
      </c>
      <c r="FN17" s="4">
        <v>0</v>
      </c>
      <c r="FO17" s="4">
        <v>0</v>
      </c>
      <c r="FP17" s="4">
        <v>0</v>
      </c>
      <c r="FQ17" s="4">
        <v>5</v>
      </c>
      <c r="FR17" s="4">
        <v>2</v>
      </c>
      <c r="FS17" s="4">
        <v>1</v>
      </c>
      <c r="FT17" s="4">
        <v>20</v>
      </c>
      <c r="FU17" s="4">
        <v>0</v>
      </c>
      <c r="FV17" s="4">
        <v>8</v>
      </c>
      <c r="FW17" s="4">
        <v>2</v>
      </c>
      <c r="FX17" s="4">
        <v>1</v>
      </c>
      <c r="FY17" s="4">
        <v>13</v>
      </c>
      <c r="FZ17" s="4">
        <v>13</v>
      </c>
      <c r="GA17" s="4">
        <v>13</v>
      </c>
      <c r="GB17" s="4">
        <v>2</v>
      </c>
      <c r="GC17" s="4">
        <v>5</v>
      </c>
      <c r="GD17" s="4">
        <v>0</v>
      </c>
      <c r="GE17" s="4">
        <v>1</v>
      </c>
      <c r="GF17" s="4">
        <v>11</v>
      </c>
      <c r="GG17" s="4">
        <v>2</v>
      </c>
      <c r="GH17" s="4">
        <v>22</v>
      </c>
      <c r="GJ17" s="4">
        <v>4</v>
      </c>
      <c r="GK17" s="4">
        <v>2</v>
      </c>
      <c r="GL17" s="4">
        <v>25</v>
      </c>
    </row>
    <row r="18" spans="19:194" hidden="1" x14ac:dyDescent="0.25">
      <c r="V18" s="12">
        <v>179</v>
      </c>
      <c r="W18" s="13"/>
      <c r="BV18" s="4">
        <v>3</v>
      </c>
      <c r="BW18" s="4">
        <v>0</v>
      </c>
      <c r="BX18" s="4">
        <v>3</v>
      </c>
      <c r="BY18" s="4">
        <v>20</v>
      </c>
      <c r="BZ18" s="4">
        <v>0</v>
      </c>
      <c r="CA18" s="4">
        <v>1</v>
      </c>
      <c r="CB18" s="4">
        <v>0</v>
      </c>
      <c r="CC18" s="4">
        <v>1</v>
      </c>
      <c r="CD18" s="4">
        <v>25</v>
      </c>
      <c r="CE18" s="4">
        <v>0</v>
      </c>
      <c r="CF18" s="4">
        <v>1</v>
      </c>
      <c r="CG18" s="4">
        <v>7</v>
      </c>
      <c r="CH18" s="4">
        <v>4</v>
      </c>
      <c r="CI18" s="4">
        <v>2</v>
      </c>
      <c r="CJ18" s="4">
        <v>9</v>
      </c>
      <c r="CK18" s="4">
        <v>40</v>
      </c>
      <c r="CL18" s="4">
        <v>0</v>
      </c>
      <c r="CM18" s="4">
        <v>20</v>
      </c>
      <c r="CN18" s="4">
        <v>1</v>
      </c>
      <c r="CO18" s="4">
        <v>2</v>
      </c>
      <c r="CP18" s="4">
        <v>32</v>
      </c>
      <c r="CQ18" s="4">
        <v>40</v>
      </c>
      <c r="CR18" s="4">
        <v>20</v>
      </c>
      <c r="CS18" s="4">
        <v>1</v>
      </c>
      <c r="CT18" s="4">
        <v>3</v>
      </c>
      <c r="CU18" s="4">
        <v>0</v>
      </c>
      <c r="CV18" s="4">
        <v>2</v>
      </c>
      <c r="CW18" s="4">
        <v>40</v>
      </c>
      <c r="CX18" s="4">
        <v>2</v>
      </c>
      <c r="CY18" s="4">
        <v>56</v>
      </c>
      <c r="CZ18" s="4">
        <v>0</v>
      </c>
      <c r="DA18" s="4">
        <v>1</v>
      </c>
      <c r="DB18" s="4">
        <v>14</v>
      </c>
      <c r="DC18" s="4">
        <v>0</v>
      </c>
      <c r="DD18" s="4">
        <v>0</v>
      </c>
      <c r="DE18" s="4">
        <v>0</v>
      </c>
      <c r="DF18" s="4">
        <v>0</v>
      </c>
      <c r="DG18" s="4">
        <v>20</v>
      </c>
      <c r="DH18" s="4">
        <v>0</v>
      </c>
      <c r="DI18" s="4">
        <v>0</v>
      </c>
      <c r="DJ18" s="4">
        <v>3</v>
      </c>
      <c r="DK18" s="4">
        <v>8</v>
      </c>
      <c r="DL18" s="4">
        <v>2</v>
      </c>
      <c r="DM18" s="4">
        <v>3</v>
      </c>
      <c r="DN18" s="4">
        <v>40</v>
      </c>
      <c r="DO18" s="4">
        <v>0</v>
      </c>
      <c r="DP18" s="4">
        <v>20</v>
      </c>
      <c r="DQ18" s="4">
        <v>0</v>
      </c>
      <c r="DR18" s="4">
        <v>4</v>
      </c>
      <c r="DS18" s="4">
        <v>33</v>
      </c>
      <c r="DT18" s="4">
        <v>40</v>
      </c>
      <c r="DU18" s="4">
        <v>10</v>
      </c>
      <c r="DV18" s="4">
        <v>1</v>
      </c>
      <c r="DW18" s="4">
        <v>7</v>
      </c>
      <c r="DX18" s="4">
        <v>0</v>
      </c>
      <c r="DY18" s="4">
        <v>3</v>
      </c>
      <c r="DZ18" s="4">
        <v>35</v>
      </c>
      <c r="EA18" s="4">
        <v>2</v>
      </c>
      <c r="EB18" s="4">
        <v>52</v>
      </c>
      <c r="EC18" s="4">
        <v>0</v>
      </c>
      <c r="ED18" s="4">
        <v>0</v>
      </c>
      <c r="EE18" s="4">
        <v>16</v>
      </c>
      <c r="EF18" s="4">
        <v>0</v>
      </c>
      <c r="EG18" s="4">
        <v>1</v>
      </c>
      <c r="EH18" s="4">
        <v>1</v>
      </c>
      <c r="EI18" s="4">
        <v>1</v>
      </c>
      <c r="EJ18" s="4">
        <v>34</v>
      </c>
      <c r="EK18" s="4">
        <v>0</v>
      </c>
      <c r="EL18" s="4">
        <v>1</v>
      </c>
      <c r="EM18" s="4">
        <v>5</v>
      </c>
      <c r="EN18" s="4">
        <v>4</v>
      </c>
      <c r="EO18" s="4">
        <v>3</v>
      </c>
      <c r="EP18" s="4">
        <v>2</v>
      </c>
      <c r="EQ18" s="4">
        <v>15</v>
      </c>
      <c r="ER18" s="4">
        <v>0</v>
      </c>
      <c r="ES18" s="4">
        <v>6</v>
      </c>
      <c r="ET18" s="4">
        <v>3</v>
      </c>
      <c r="EU18" s="4">
        <v>2</v>
      </c>
      <c r="EV18" s="4">
        <v>19</v>
      </c>
      <c r="EW18" s="4">
        <v>17</v>
      </c>
      <c r="EX18" s="4">
        <v>13</v>
      </c>
      <c r="EY18" s="4">
        <v>2</v>
      </c>
      <c r="EZ18" s="4">
        <v>4</v>
      </c>
      <c r="FA18" s="4">
        <v>0</v>
      </c>
      <c r="FB18" s="4">
        <v>2</v>
      </c>
      <c r="FC18" s="4">
        <v>24</v>
      </c>
      <c r="FD18" s="4">
        <v>3</v>
      </c>
      <c r="FE18" s="4">
        <v>40</v>
      </c>
      <c r="FF18" s="4">
        <v>1</v>
      </c>
      <c r="FG18" s="4">
        <v>0</v>
      </c>
      <c r="FH18" s="4">
        <v>7</v>
      </c>
      <c r="FI18" s="4">
        <v>0</v>
      </c>
      <c r="FJ18" s="4">
        <v>2</v>
      </c>
      <c r="FK18" s="4">
        <v>3</v>
      </c>
      <c r="FL18" s="4">
        <v>2</v>
      </c>
      <c r="FM18" s="4">
        <v>33</v>
      </c>
      <c r="FN18" s="4">
        <v>0</v>
      </c>
      <c r="FO18" s="4">
        <v>0</v>
      </c>
      <c r="FP18" s="4">
        <v>1</v>
      </c>
      <c r="FQ18" s="4">
        <v>5</v>
      </c>
      <c r="FR18" s="4">
        <v>4</v>
      </c>
      <c r="FS18" s="4">
        <v>1</v>
      </c>
      <c r="FT18" s="4">
        <v>24</v>
      </c>
      <c r="FU18" s="4">
        <v>0</v>
      </c>
      <c r="FV18" s="4">
        <v>13</v>
      </c>
      <c r="FW18" s="4">
        <v>5</v>
      </c>
      <c r="FX18" s="4">
        <v>2</v>
      </c>
      <c r="FY18" s="4">
        <v>20</v>
      </c>
      <c r="FZ18" s="4">
        <v>20</v>
      </c>
      <c r="GA18" s="4">
        <v>20</v>
      </c>
      <c r="GB18" s="4">
        <v>5</v>
      </c>
      <c r="GC18" s="4">
        <v>14</v>
      </c>
      <c r="GD18" s="4">
        <v>0</v>
      </c>
      <c r="GE18" s="4">
        <v>1</v>
      </c>
      <c r="GF18" s="4">
        <v>20</v>
      </c>
      <c r="GG18" s="4">
        <v>3</v>
      </c>
      <c r="GH18" s="4">
        <v>34</v>
      </c>
      <c r="GJ18" s="4">
        <v>5</v>
      </c>
      <c r="GK18" s="4">
        <v>2</v>
      </c>
      <c r="GL18" s="4">
        <v>25</v>
      </c>
    </row>
    <row r="19" spans="19:194" hidden="1" x14ac:dyDescent="0.25">
      <c r="V19" s="12">
        <v>180</v>
      </c>
      <c r="W19" s="13"/>
      <c r="BV19" s="4">
        <v>4</v>
      </c>
      <c r="BW19" s="4">
        <v>0</v>
      </c>
      <c r="BX19" s="4">
        <v>4</v>
      </c>
      <c r="BY19" s="4">
        <v>25</v>
      </c>
      <c r="BZ19" s="4">
        <v>0</v>
      </c>
      <c r="CA19" s="4">
        <v>1</v>
      </c>
      <c r="CB19" s="4">
        <v>0</v>
      </c>
      <c r="CC19" s="4">
        <v>2</v>
      </c>
      <c r="CD19" s="4">
        <v>30</v>
      </c>
      <c r="CE19" s="4">
        <v>0</v>
      </c>
      <c r="CF19" s="4">
        <v>3</v>
      </c>
      <c r="CG19" s="4">
        <v>10</v>
      </c>
      <c r="CH19" s="4">
        <v>19</v>
      </c>
      <c r="CI19" s="4">
        <v>3</v>
      </c>
      <c r="CJ19" s="4">
        <v>14</v>
      </c>
      <c r="CK19" s="4">
        <v>44</v>
      </c>
      <c r="CL19" s="4">
        <v>0</v>
      </c>
      <c r="CM19" s="4">
        <v>25</v>
      </c>
      <c r="CN19" s="4">
        <v>1</v>
      </c>
      <c r="CO19" s="4">
        <v>3</v>
      </c>
      <c r="CP19" s="4">
        <v>40</v>
      </c>
      <c r="CQ19" s="4">
        <v>44</v>
      </c>
      <c r="CR19" s="4">
        <v>25</v>
      </c>
      <c r="CS19" s="4">
        <v>1</v>
      </c>
      <c r="CT19" s="4">
        <v>6</v>
      </c>
      <c r="CU19" s="4">
        <v>0</v>
      </c>
      <c r="CV19" s="4">
        <v>5</v>
      </c>
      <c r="CW19" s="4">
        <v>44</v>
      </c>
      <c r="CX19" s="4">
        <v>7</v>
      </c>
      <c r="CY19" s="4">
        <v>63</v>
      </c>
      <c r="CZ19" s="4">
        <v>0</v>
      </c>
      <c r="DA19" s="4">
        <v>1</v>
      </c>
      <c r="DB19" s="4">
        <v>20</v>
      </c>
      <c r="DC19" s="4">
        <v>0</v>
      </c>
      <c r="DD19" s="4">
        <v>2</v>
      </c>
      <c r="DE19" s="4">
        <v>0</v>
      </c>
      <c r="DF19" s="4">
        <v>0</v>
      </c>
      <c r="DG19" s="4">
        <v>25</v>
      </c>
      <c r="DH19" s="4">
        <v>0</v>
      </c>
      <c r="DI19" s="4">
        <v>0</v>
      </c>
      <c r="DJ19" s="4">
        <v>4</v>
      </c>
      <c r="DK19" s="4">
        <v>18</v>
      </c>
      <c r="DL19" s="4">
        <v>2</v>
      </c>
      <c r="DM19" s="4">
        <v>6</v>
      </c>
      <c r="DN19" s="4">
        <v>42</v>
      </c>
      <c r="DO19" s="4">
        <v>0</v>
      </c>
      <c r="DP19" s="4">
        <v>29</v>
      </c>
      <c r="DQ19" s="4">
        <v>0</v>
      </c>
      <c r="DR19" s="4">
        <v>4</v>
      </c>
      <c r="DS19" s="4">
        <v>40</v>
      </c>
      <c r="DT19" s="4">
        <v>43</v>
      </c>
      <c r="DU19" s="4">
        <v>14</v>
      </c>
      <c r="DV19" s="4">
        <v>1</v>
      </c>
      <c r="DW19" s="4">
        <v>7</v>
      </c>
      <c r="DX19" s="4">
        <v>0</v>
      </c>
      <c r="DY19" s="4">
        <v>10</v>
      </c>
      <c r="DZ19" s="4">
        <v>40</v>
      </c>
      <c r="EA19" s="4">
        <v>2</v>
      </c>
      <c r="EB19" s="4">
        <v>61</v>
      </c>
      <c r="EC19" s="4">
        <v>0</v>
      </c>
      <c r="ED19" s="4">
        <v>0</v>
      </c>
      <c r="EE19" s="4">
        <v>20</v>
      </c>
      <c r="EF19" s="4">
        <v>0</v>
      </c>
      <c r="EG19" s="4">
        <v>1</v>
      </c>
      <c r="EH19" s="4">
        <v>3</v>
      </c>
      <c r="EI19" s="4">
        <v>1</v>
      </c>
      <c r="EJ19" s="4">
        <v>40</v>
      </c>
      <c r="EK19" s="4">
        <v>0</v>
      </c>
      <c r="EL19" s="4">
        <v>2</v>
      </c>
      <c r="EM19" s="4">
        <v>6</v>
      </c>
      <c r="EN19" s="4">
        <v>8</v>
      </c>
      <c r="EO19" s="4">
        <v>4</v>
      </c>
      <c r="EP19" s="4">
        <v>3</v>
      </c>
      <c r="EQ19" s="4">
        <v>19</v>
      </c>
      <c r="ER19" s="4">
        <v>0</v>
      </c>
      <c r="ES19" s="4">
        <v>11</v>
      </c>
      <c r="ET19" s="4">
        <v>4</v>
      </c>
      <c r="EU19" s="4">
        <v>3</v>
      </c>
      <c r="EV19" s="4">
        <v>25</v>
      </c>
      <c r="EW19" s="4">
        <v>22</v>
      </c>
      <c r="EX19" s="4">
        <v>20</v>
      </c>
      <c r="EY19" s="4">
        <v>3</v>
      </c>
      <c r="EZ19" s="4">
        <v>8</v>
      </c>
      <c r="FA19" s="4">
        <v>0</v>
      </c>
      <c r="FB19" s="4">
        <v>3</v>
      </c>
      <c r="FC19" s="4">
        <v>28</v>
      </c>
      <c r="FD19" s="4">
        <v>6</v>
      </c>
      <c r="FE19" s="4">
        <v>44</v>
      </c>
      <c r="FF19" s="4">
        <v>1</v>
      </c>
      <c r="FG19" s="4">
        <v>0</v>
      </c>
      <c r="FH19" s="4">
        <v>9</v>
      </c>
      <c r="FI19" s="4">
        <v>0</v>
      </c>
      <c r="FJ19" s="4">
        <v>2</v>
      </c>
      <c r="FK19" s="4">
        <v>5</v>
      </c>
      <c r="FL19" s="4">
        <v>2</v>
      </c>
      <c r="FM19" s="4">
        <v>40</v>
      </c>
      <c r="FN19" s="4">
        <v>0</v>
      </c>
      <c r="FO19" s="4">
        <v>0</v>
      </c>
      <c r="FP19" s="4">
        <v>1</v>
      </c>
      <c r="FQ19" s="4">
        <v>12</v>
      </c>
      <c r="FR19" s="4">
        <v>5</v>
      </c>
      <c r="FS19" s="4">
        <v>3</v>
      </c>
      <c r="FT19" s="4">
        <v>26</v>
      </c>
      <c r="FU19" s="4">
        <v>0</v>
      </c>
      <c r="FV19" s="4">
        <v>20</v>
      </c>
      <c r="FW19" s="4">
        <v>9</v>
      </c>
      <c r="FX19" s="4">
        <v>3</v>
      </c>
      <c r="FY19" s="4">
        <v>24</v>
      </c>
      <c r="FZ19" s="4">
        <v>23</v>
      </c>
      <c r="GA19" s="4">
        <v>25</v>
      </c>
      <c r="GB19" s="4">
        <v>6</v>
      </c>
      <c r="GC19" s="4">
        <v>20</v>
      </c>
      <c r="GD19" s="4">
        <v>0</v>
      </c>
      <c r="GE19" s="4">
        <v>1</v>
      </c>
      <c r="GF19" s="4">
        <v>23</v>
      </c>
      <c r="GG19" s="4">
        <v>7</v>
      </c>
      <c r="GH19" s="4">
        <v>39</v>
      </c>
      <c r="GJ19" s="4">
        <v>6</v>
      </c>
      <c r="GK19" s="4">
        <v>2</v>
      </c>
      <c r="GL19" s="4">
        <v>25</v>
      </c>
    </row>
    <row r="20" spans="19:194" hidden="1" x14ac:dyDescent="0.25">
      <c r="V20" s="12">
        <v>181</v>
      </c>
      <c r="W20" s="13"/>
      <c r="BV20" s="4">
        <v>5</v>
      </c>
      <c r="BW20" s="4">
        <v>0</v>
      </c>
      <c r="BX20" s="4">
        <v>7</v>
      </c>
      <c r="BY20" s="4">
        <v>31</v>
      </c>
      <c r="BZ20" s="4">
        <v>0</v>
      </c>
      <c r="CA20" s="4">
        <v>1</v>
      </c>
      <c r="CB20" s="4">
        <v>1</v>
      </c>
      <c r="CC20" s="4">
        <v>2</v>
      </c>
      <c r="CD20" s="4">
        <v>34</v>
      </c>
      <c r="CE20" s="4">
        <v>0</v>
      </c>
      <c r="CF20" s="4">
        <v>5</v>
      </c>
      <c r="CG20" s="4">
        <v>13</v>
      </c>
      <c r="CH20" s="4">
        <v>19</v>
      </c>
      <c r="CI20" s="4">
        <v>9</v>
      </c>
      <c r="CJ20" s="4">
        <v>20</v>
      </c>
      <c r="CK20" s="4">
        <v>46</v>
      </c>
      <c r="CL20" s="4">
        <v>0</v>
      </c>
      <c r="CM20" s="4">
        <v>31</v>
      </c>
      <c r="CN20" s="4">
        <v>2</v>
      </c>
      <c r="CO20" s="4">
        <v>5</v>
      </c>
      <c r="CP20" s="4">
        <v>45</v>
      </c>
      <c r="CQ20" s="4">
        <v>48</v>
      </c>
      <c r="CR20" s="4">
        <v>32</v>
      </c>
      <c r="CS20" s="4">
        <v>2</v>
      </c>
      <c r="CT20" s="4">
        <v>7</v>
      </c>
      <c r="CU20" s="4">
        <v>0</v>
      </c>
      <c r="CV20" s="4">
        <v>10</v>
      </c>
      <c r="CW20" s="4">
        <v>47</v>
      </c>
      <c r="CX20" s="4">
        <v>13</v>
      </c>
      <c r="CY20" s="4">
        <v>68</v>
      </c>
      <c r="CZ20" s="4">
        <v>0</v>
      </c>
      <c r="DA20" s="4">
        <v>3</v>
      </c>
      <c r="DB20" s="4">
        <v>23</v>
      </c>
      <c r="DC20" s="4">
        <v>0</v>
      </c>
      <c r="DD20" s="4">
        <v>2</v>
      </c>
      <c r="DE20" s="4">
        <v>0</v>
      </c>
      <c r="DF20" s="4">
        <v>0</v>
      </c>
      <c r="DG20" s="4">
        <v>27</v>
      </c>
      <c r="DH20" s="4">
        <v>0</v>
      </c>
      <c r="DI20" s="4">
        <v>0</v>
      </c>
      <c r="DJ20" s="4">
        <v>10</v>
      </c>
      <c r="DK20" s="4">
        <v>20</v>
      </c>
      <c r="DL20" s="4">
        <v>6</v>
      </c>
      <c r="DM20" s="4">
        <v>10</v>
      </c>
      <c r="DN20" s="4">
        <v>46</v>
      </c>
      <c r="DO20" s="4">
        <v>0</v>
      </c>
      <c r="DP20" s="4">
        <v>34</v>
      </c>
      <c r="DQ20" s="4">
        <v>0</v>
      </c>
      <c r="DR20" s="4">
        <v>6</v>
      </c>
      <c r="DS20" s="4">
        <v>45</v>
      </c>
      <c r="DT20" s="4">
        <v>47</v>
      </c>
      <c r="DU20" s="4">
        <v>20</v>
      </c>
      <c r="DV20" s="4">
        <v>1</v>
      </c>
      <c r="DW20" s="4">
        <v>10</v>
      </c>
      <c r="DX20" s="4">
        <v>1</v>
      </c>
      <c r="DY20" s="4">
        <v>13</v>
      </c>
      <c r="DZ20" s="4">
        <v>43</v>
      </c>
      <c r="EA20" s="4">
        <v>15</v>
      </c>
      <c r="EB20" s="4">
        <v>66</v>
      </c>
      <c r="EC20" s="4">
        <v>0</v>
      </c>
      <c r="ED20" s="4">
        <v>1</v>
      </c>
      <c r="EE20" s="4">
        <v>21</v>
      </c>
      <c r="EF20" s="4">
        <v>0</v>
      </c>
      <c r="EG20" s="4">
        <v>1</v>
      </c>
      <c r="EH20" s="4">
        <v>4</v>
      </c>
      <c r="EI20" s="4">
        <v>2</v>
      </c>
      <c r="EJ20" s="4">
        <v>42</v>
      </c>
      <c r="EK20" s="4">
        <v>0</v>
      </c>
      <c r="EL20" s="4">
        <v>5</v>
      </c>
      <c r="EM20" s="4">
        <v>7</v>
      </c>
      <c r="EN20" s="4">
        <v>9</v>
      </c>
      <c r="EO20" s="4">
        <v>6</v>
      </c>
      <c r="EP20" s="4">
        <v>4</v>
      </c>
      <c r="EQ20" s="4">
        <v>23</v>
      </c>
      <c r="ER20" s="4">
        <v>0</v>
      </c>
      <c r="ES20" s="4">
        <v>19</v>
      </c>
      <c r="ET20" s="4">
        <v>6</v>
      </c>
      <c r="EU20" s="4">
        <v>5</v>
      </c>
      <c r="EV20" s="4">
        <v>33</v>
      </c>
      <c r="EW20" s="4">
        <v>29</v>
      </c>
      <c r="EX20" s="4">
        <v>26</v>
      </c>
      <c r="EY20" s="4">
        <v>4</v>
      </c>
      <c r="EZ20" s="4">
        <v>14</v>
      </c>
      <c r="FA20" s="4">
        <v>0</v>
      </c>
      <c r="FB20" s="4">
        <v>4</v>
      </c>
      <c r="FC20" s="4">
        <v>33</v>
      </c>
      <c r="FD20" s="4">
        <v>12</v>
      </c>
      <c r="FE20" s="4">
        <v>49</v>
      </c>
      <c r="FF20" s="4">
        <v>1</v>
      </c>
      <c r="FG20" s="4">
        <v>1</v>
      </c>
      <c r="FH20" s="4">
        <v>13</v>
      </c>
      <c r="FI20" s="4">
        <v>0</v>
      </c>
      <c r="FJ20" s="4">
        <v>3</v>
      </c>
      <c r="FK20" s="4">
        <v>8</v>
      </c>
      <c r="FL20" s="4">
        <v>3</v>
      </c>
      <c r="FM20" s="4">
        <v>42</v>
      </c>
      <c r="FN20" s="4">
        <v>0</v>
      </c>
      <c r="FO20" s="4">
        <v>0</v>
      </c>
      <c r="FP20" s="4">
        <v>2</v>
      </c>
      <c r="FQ20" s="4">
        <v>12</v>
      </c>
      <c r="FR20" s="4">
        <v>7</v>
      </c>
      <c r="FS20" s="4">
        <v>3</v>
      </c>
      <c r="FT20" s="4">
        <v>29</v>
      </c>
      <c r="FU20" s="4">
        <v>0</v>
      </c>
      <c r="FV20" s="4">
        <v>25</v>
      </c>
      <c r="FW20" s="4">
        <v>15</v>
      </c>
      <c r="FX20" s="4">
        <v>8</v>
      </c>
      <c r="FY20" s="4">
        <v>26</v>
      </c>
      <c r="FZ20" s="4">
        <v>28</v>
      </c>
      <c r="GA20" s="4">
        <v>30</v>
      </c>
      <c r="GB20" s="4">
        <v>13</v>
      </c>
      <c r="GC20" s="4">
        <v>23</v>
      </c>
      <c r="GD20" s="4">
        <v>0</v>
      </c>
      <c r="GE20" s="4">
        <v>2</v>
      </c>
      <c r="GF20" s="4">
        <v>26</v>
      </c>
      <c r="GG20" s="4">
        <v>22</v>
      </c>
      <c r="GH20" s="4">
        <v>43</v>
      </c>
      <c r="GJ20" s="4">
        <v>7</v>
      </c>
      <c r="GK20" s="4">
        <v>2</v>
      </c>
      <c r="GL20" s="4">
        <v>25</v>
      </c>
    </row>
    <row r="21" spans="19:194" hidden="1" x14ac:dyDescent="0.25">
      <c r="V21" s="12">
        <v>182</v>
      </c>
      <c r="W21" s="13"/>
      <c r="BV21" s="4">
        <v>6</v>
      </c>
      <c r="BW21" s="4">
        <v>1</v>
      </c>
      <c r="BX21" s="4">
        <v>9</v>
      </c>
      <c r="BY21" s="4">
        <v>35</v>
      </c>
      <c r="BZ21" s="4">
        <v>0</v>
      </c>
      <c r="CA21" s="4">
        <v>1</v>
      </c>
      <c r="CB21" s="4">
        <v>1</v>
      </c>
      <c r="CC21" s="4">
        <v>3</v>
      </c>
      <c r="CD21" s="4">
        <v>40</v>
      </c>
      <c r="CE21" s="4">
        <v>0</v>
      </c>
      <c r="CF21" s="4">
        <v>6</v>
      </c>
      <c r="CG21" s="4">
        <v>16</v>
      </c>
      <c r="CH21" s="4">
        <v>28</v>
      </c>
      <c r="CI21" s="4">
        <v>12</v>
      </c>
      <c r="CJ21" s="4">
        <v>22</v>
      </c>
      <c r="CK21" s="4">
        <v>50</v>
      </c>
      <c r="CL21" s="4">
        <v>0</v>
      </c>
      <c r="CM21" s="4">
        <v>40</v>
      </c>
      <c r="CN21" s="4">
        <v>2</v>
      </c>
      <c r="CO21" s="4">
        <v>6</v>
      </c>
      <c r="CP21" s="4">
        <v>50</v>
      </c>
      <c r="CQ21" s="4">
        <v>50</v>
      </c>
      <c r="CR21" s="4">
        <v>35</v>
      </c>
      <c r="CS21" s="4">
        <v>2</v>
      </c>
      <c r="CT21" s="4">
        <v>12</v>
      </c>
      <c r="CU21" s="4">
        <v>1</v>
      </c>
      <c r="CV21" s="4">
        <v>20</v>
      </c>
      <c r="CW21" s="4">
        <v>50</v>
      </c>
      <c r="CX21" s="4">
        <v>21</v>
      </c>
      <c r="CY21" s="4">
        <v>72</v>
      </c>
      <c r="CZ21" s="4">
        <v>0</v>
      </c>
      <c r="DA21" s="4">
        <v>5</v>
      </c>
      <c r="DB21" s="4">
        <v>26</v>
      </c>
      <c r="DC21" s="4">
        <v>0</v>
      </c>
      <c r="DD21" s="4">
        <v>2</v>
      </c>
      <c r="DE21" s="4">
        <v>0</v>
      </c>
      <c r="DF21" s="4">
        <v>1</v>
      </c>
      <c r="DG21" s="4">
        <v>33</v>
      </c>
      <c r="DH21" s="4">
        <v>0</v>
      </c>
      <c r="DI21" s="4">
        <v>0</v>
      </c>
      <c r="DJ21" s="4">
        <v>10</v>
      </c>
      <c r="DK21" s="4">
        <v>24</v>
      </c>
      <c r="DL21" s="4">
        <v>10</v>
      </c>
      <c r="DM21" s="4">
        <v>15</v>
      </c>
      <c r="DN21" s="4">
        <v>50</v>
      </c>
      <c r="DO21" s="4">
        <v>0</v>
      </c>
      <c r="DP21" s="4">
        <v>40</v>
      </c>
      <c r="DQ21" s="4">
        <v>0</v>
      </c>
      <c r="DR21" s="4">
        <v>13</v>
      </c>
      <c r="DS21" s="4">
        <v>49</v>
      </c>
      <c r="DT21" s="4">
        <v>50</v>
      </c>
      <c r="DU21" s="4">
        <v>24</v>
      </c>
      <c r="DV21" s="4">
        <v>1</v>
      </c>
      <c r="DW21" s="4">
        <v>12</v>
      </c>
      <c r="DX21" s="4">
        <v>1</v>
      </c>
      <c r="DY21" s="4">
        <v>20</v>
      </c>
      <c r="DZ21" s="4">
        <v>46</v>
      </c>
      <c r="EA21" s="4">
        <v>23</v>
      </c>
      <c r="EB21" s="4">
        <v>69</v>
      </c>
      <c r="EC21" s="4">
        <v>0</v>
      </c>
      <c r="ED21" s="4">
        <v>2</v>
      </c>
      <c r="EE21" s="4">
        <v>25</v>
      </c>
      <c r="EF21" s="4">
        <v>0</v>
      </c>
      <c r="EG21" s="4">
        <v>1</v>
      </c>
      <c r="EH21" s="4">
        <v>5</v>
      </c>
      <c r="EI21" s="4">
        <v>2</v>
      </c>
      <c r="EJ21" s="4">
        <v>43</v>
      </c>
      <c r="EK21" s="4">
        <v>0</v>
      </c>
      <c r="EL21" s="4">
        <v>7</v>
      </c>
      <c r="EM21" s="4">
        <v>10</v>
      </c>
      <c r="EN21" s="4">
        <v>17</v>
      </c>
      <c r="EO21" s="4">
        <v>9</v>
      </c>
      <c r="EP21" s="4">
        <v>5</v>
      </c>
      <c r="EQ21" s="4">
        <v>30</v>
      </c>
      <c r="ER21" s="4">
        <v>0</v>
      </c>
      <c r="ES21" s="4">
        <v>32</v>
      </c>
      <c r="ET21" s="4">
        <v>10</v>
      </c>
      <c r="EU21" s="4">
        <v>8</v>
      </c>
      <c r="EV21" s="4">
        <v>40</v>
      </c>
      <c r="EW21" s="4">
        <v>35</v>
      </c>
      <c r="EX21" s="4">
        <v>31</v>
      </c>
      <c r="EY21" s="4">
        <v>6</v>
      </c>
      <c r="EZ21" s="4">
        <v>20</v>
      </c>
      <c r="FA21" s="4">
        <v>0</v>
      </c>
      <c r="FB21" s="4">
        <v>7</v>
      </c>
      <c r="FC21" s="4">
        <v>40</v>
      </c>
      <c r="FD21" s="4">
        <v>21</v>
      </c>
      <c r="FE21" s="4">
        <v>53</v>
      </c>
      <c r="FF21" s="4">
        <v>1</v>
      </c>
      <c r="FG21" s="4">
        <v>2</v>
      </c>
      <c r="FH21" s="4">
        <v>16</v>
      </c>
      <c r="FI21" s="4">
        <v>0</v>
      </c>
      <c r="FJ21" s="4">
        <v>7</v>
      </c>
      <c r="FK21" s="4">
        <v>12</v>
      </c>
      <c r="FL21" s="4">
        <v>5</v>
      </c>
      <c r="FM21" s="4">
        <v>43</v>
      </c>
      <c r="FN21" s="4">
        <v>0</v>
      </c>
      <c r="FO21" s="4">
        <v>2</v>
      </c>
      <c r="FP21" s="4">
        <v>4</v>
      </c>
      <c r="FQ21" s="4">
        <v>18</v>
      </c>
      <c r="FR21" s="4">
        <v>9</v>
      </c>
      <c r="FS21" s="4">
        <v>4</v>
      </c>
      <c r="FT21" s="4">
        <v>33</v>
      </c>
      <c r="FU21" s="4">
        <v>0</v>
      </c>
      <c r="FV21" s="4">
        <v>30</v>
      </c>
      <c r="FW21" s="4">
        <v>20</v>
      </c>
      <c r="FX21" s="4">
        <v>14</v>
      </c>
      <c r="FY21" s="4">
        <v>31</v>
      </c>
      <c r="FZ21" s="4">
        <v>31</v>
      </c>
      <c r="GA21" s="4">
        <v>36</v>
      </c>
      <c r="GB21" s="4">
        <v>20</v>
      </c>
      <c r="GC21" s="4">
        <v>27</v>
      </c>
      <c r="GD21" s="4">
        <v>0</v>
      </c>
      <c r="GE21" s="4">
        <v>4</v>
      </c>
      <c r="GF21" s="4">
        <v>30</v>
      </c>
      <c r="GG21" s="4">
        <v>34</v>
      </c>
      <c r="GH21" s="4">
        <v>47</v>
      </c>
      <c r="GJ21" s="4">
        <v>8</v>
      </c>
      <c r="GK21" s="4">
        <v>2</v>
      </c>
      <c r="GL21" s="4">
        <v>25</v>
      </c>
    </row>
    <row r="22" spans="19:194" hidden="1" x14ac:dyDescent="0.25">
      <c r="V22" s="12">
        <v>183</v>
      </c>
      <c r="W22" s="13"/>
      <c r="BV22" s="4">
        <v>7</v>
      </c>
      <c r="BW22" s="4">
        <v>2</v>
      </c>
      <c r="BX22" s="4">
        <v>9</v>
      </c>
      <c r="BY22" s="4">
        <v>40</v>
      </c>
      <c r="BZ22" s="4">
        <v>0</v>
      </c>
      <c r="CA22" s="4">
        <v>1</v>
      </c>
      <c r="CB22" s="4">
        <v>1</v>
      </c>
      <c r="CC22" s="4">
        <v>3</v>
      </c>
      <c r="CD22" s="4">
        <v>42</v>
      </c>
      <c r="CE22" s="4">
        <v>0</v>
      </c>
      <c r="CF22" s="4">
        <v>9</v>
      </c>
      <c r="CG22" s="4">
        <v>20</v>
      </c>
      <c r="CH22" s="4">
        <v>28</v>
      </c>
      <c r="CI22" s="4">
        <v>20</v>
      </c>
      <c r="CJ22" s="4">
        <v>25</v>
      </c>
      <c r="CK22" s="4">
        <v>55</v>
      </c>
      <c r="CL22" s="4">
        <v>0</v>
      </c>
      <c r="CM22" s="4">
        <v>44</v>
      </c>
      <c r="CN22" s="4">
        <v>3</v>
      </c>
      <c r="CO22" s="4">
        <v>12</v>
      </c>
      <c r="CP22" s="4">
        <v>54</v>
      </c>
      <c r="CQ22" s="4">
        <v>53</v>
      </c>
      <c r="CR22" s="4">
        <v>40</v>
      </c>
      <c r="CS22" s="4">
        <v>2</v>
      </c>
      <c r="CT22" s="4">
        <v>20</v>
      </c>
      <c r="CU22" s="4">
        <v>1</v>
      </c>
      <c r="CV22" s="4">
        <v>24</v>
      </c>
      <c r="CW22" s="4">
        <v>53</v>
      </c>
      <c r="CX22" s="4">
        <v>34</v>
      </c>
      <c r="CY22" s="4">
        <v>74</v>
      </c>
      <c r="CZ22" s="4">
        <v>0</v>
      </c>
      <c r="DA22" s="4">
        <v>7</v>
      </c>
      <c r="DB22" s="4">
        <v>30</v>
      </c>
      <c r="DC22" s="4">
        <v>0</v>
      </c>
      <c r="DD22" s="4">
        <v>2</v>
      </c>
      <c r="DE22" s="4">
        <v>1</v>
      </c>
      <c r="DF22" s="4">
        <v>1</v>
      </c>
      <c r="DG22" s="4">
        <v>40</v>
      </c>
      <c r="DH22" s="4">
        <v>0</v>
      </c>
      <c r="DI22" s="4">
        <v>2</v>
      </c>
      <c r="DJ22" s="4">
        <v>14</v>
      </c>
      <c r="DK22" s="4">
        <v>26</v>
      </c>
      <c r="DL22" s="4">
        <v>15</v>
      </c>
      <c r="DM22" s="4">
        <v>20</v>
      </c>
      <c r="DN22" s="4">
        <v>53</v>
      </c>
      <c r="DO22" s="4">
        <v>0</v>
      </c>
      <c r="DP22" s="4">
        <v>44</v>
      </c>
      <c r="DQ22" s="4">
        <v>0</v>
      </c>
      <c r="DR22" s="4">
        <v>15</v>
      </c>
      <c r="DS22" s="4">
        <v>50</v>
      </c>
      <c r="DT22" s="4">
        <v>54</v>
      </c>
      <c r="DU22" s="4">
        <v>26</v>
      </c>
      <c r="DV22" s="4">
        <v>1</v>
      </c>
      <c r="DW22" s="4">
        <v>20</v>
      </c>
      <c r="DX22" s="4">
        <v>1</v>
      </c>
      <c r="DY22" s="4">
        <v>22</v>
      </c>
      <c r="DZ22" s="4">
        <v>50</v>
      </c>
      <c r="EA22" s="4">
        <v>34</v>
      </c>
      <c r="EB22" s="4">
        <v>72</v>
      </c>
      <c r="EC22" s="4">
        <v>0</v>
      </c>
      <c r="ED22" s="4">
        <v>3</v>
      </c>
      <c r="EE22" s="4">
        <v>29</v>
      </c>
      <c r="EF22" s="4">
        <v>0</v>
      </c>
      <c r="EG22" s="4">
        <v>1</v>
      </c>
      <c r="EH22" s="4">
        <v>7</v>
      </c>
      <c r="EI22" s="4">
        <v>7</v>
      </c>
      <c r="EJ22" s="4">
        <v>45</v>
      </c>
      <c r="EK22" s="4">
        <v>0</v>
      </c>
      <c r="EL22" s="4">
        <v>10</v>
      </c>
      <c r="EM22" s="4">
        <v>11</v>
      </c>
      <c r="EN22" s="4">
        <v>17</v>
      </c>
      <c r="EO22" s="4">
        <v>13</v>
      </c>
      <c r="EP22" s="4">
        <v>6</v>
      </c>
      <c r="EQ22" s="4">
        <v>35</v>
      </c>
      <c r="ER22" s="4">
        <v>0</v>
      </c>
      <c r="ES22" s="4">
        <v>40</v>
      </c>
      <c r="ET22" s="4">
        <v>13</v>
      </c>
      <c r="EU22" s="4">
        <v>12</v>
      </c>
      <c r="EV22" s="4">
        <v>42</v>
      </c>
      <c r="EW22" s="4">
        <v>37</v>
      </c>
      <c r="EX22" s="4">
        <v>40</v>
      </c>
      <c r="EY22" s="4">
        <v>9</v>
      </c>
      <c r="EZ22" s="4">
        <v>28</v>
      </c>
      <c r="FA22" s="4">
        <v>0</v>
      </c>
      <c r="FB22" s="4">
        <v>9</v>
      </c>
      <c r="FC22" s="4">
        <v>42</v>
      </c>
      <c r="FD22" s="4">
        <v>34</v>
      </c>
      <c r="FE22" s="4">
        <v>58</v>
      </c>
      <c r="FF22" s="4">
        <v>1</v>
      </c>
      <c r="FG22" s="4">
        <v>2</v>
      </c>
      <c r="FH22" s="4">
        <v>20</v>
      </c>
      <c r="FI22" s="4">
        <v>0</v>
      </c>
      <c r="FJ22" s="4">
        <v>8</v>
      </c>
      <c r="FK22" s="4">
        <v>14</v>
      </c>
      <c r="FL22" s="4">
        <v>7</v>
      </c>
      <c r="FM22" s="4">
        <v>45</v>
      </c>
      <c r="FN22" s="4">
        <v>0</v>
      </c>
      <c r="FO22" s="4">
        <v>4</v>
      </c>
      <c r="FP22" s="4">
        <v>7</v>
      </c>
      <c r="FQ22" s="4">
        <v>20</v>
      </c>
      <c r="FR22" s="4">
        <v>12</v>
      </c>
      <c r="FS22" s="4">
        <v>6</v>
      </c>
      <c r="FT22" s="4">
        <v>34</v>
      </c>
      <c r="FU22" s="4">
        <v>0</v>
      </c>
      <c r="FV22" s="4">
        <v>40</v>
      </c>
      <c r="FW22" s="4">
        <v>23</v>
      </c>
      <c r="FX22" s="4">
        <v>20</v>
      </c>
      <c r="FY22" s="4">
        <v>37</v>
      </c>
      <c r="FZ22" s="4">
        <v>35</v>
      </c>
      <c r="GA22" s="4">
        <v>40</v>
      </c>
      <c r="GB22" s="4">
        <v>24</v>
      </c>
      <c r="GC22" s="4">
        <v>30</v>
      </c>
      <c r="GD22" s="4">
        <v>0</v>
      </c>
      <c r="GE22" s="4">
        <v>7</v>
      </c>
      <c r="GF22" s="4">
        <v>35</v>
      </c>
      <c r="GG22" s="4">
        <v>43</v>
      </c>
      <c r="GH22" s="4">
        <v>50</v>
      </c>
      <c r="GJ22" s="4">
        <v>9</v>
      </c>
      <c r="GK22" s="4">
        <v>2</v>
      </c>
      <c r="GL22" s="4">
        <v>25</v>
      </c>
    </row>
    <row r="23" spans="19:194" hidden="1" x14ac:dyDescent="0.25">
      <c r="V23" s="12">
        <v>184</v>
      </c>
      <c r="W23" s="13"/>
      <c r="BV23" s="4">
        <v>8</v>
      </c>
      <c r="BW23" s="4">
        <v>3</v>
      </c>
      <c r="BX23" s="4">
        <v>14</v>
      </c>
      <c r="BY23" s="4">
        <v>41</v>
      </c>
      <c r="BZ23" s="4">
        <v>0</v>
      </c>
      <c r="CA23" s="4">
        <v>1</v>
      </c>
      <c r="CB23" s="4">
        <v>1</v>
      </c>
      <c r="CC23" s="4">
        <v>5</v>
      </c>
      <c r="CD23" s="4">
        <v>44</v>
      </c>
      <c r="CE23" s="4">
        <v>0</v>
      </c>
      <c r="CF23" s="4">
        <v>13</v>
      </c>
      <c r="CG23" s="4">
        <v>23</v>
      </c>
      <c r="CH23" s="4">
        <v>37</v>
      </c>
      <c r="CI23" s="4">
        <v>25</v>
      </c>
      <c r="CJ23" s="4">
        <v>26</v>
      </c>
      <c r="CK23" s="4">
        <v>57</v>
      </c>
      <c r="CL23" s="4">
        <v>0</v>
      </c>
      <c r="CM23" s="4">
        <v>48</v>
      </c>
      <c r="CN23" s="4">
        <v>4</v>
      </c>
      <c r="CO23" s="4">
        <v>20</v>
      </c>
      <c r="CP23" s="4">
        <v>60</v>
      </c>
      <c r="CQ23" s="4">
        <v>56</v>
      </c>
      <c r="CR23" s="4">
        <v>42</v>
      </c>
      <c r="CS23" s="4">
        <v>3</v>
      </c>
      <c r="CT23" s="4">
        <v>25</v>
      </c>
      <c r="CU23" s="4">
        <v>2</v>
      </c>
      <c r="CV23" s="4">
        <v>31</v>
      </c>
      <c r="CW23" s="4">
        <v>57</v>
      </c>
      <c r="CX23" s="4">
        <v>38</v>
      </c>
      <c r="CY23" s="4">
        <v>77</v>
      </c>
      <c r="CZ23" s="4">
        <v>0</v>
      </c>
      <c r="DA23" s="4">
        <v>8</v>
      </c>
      <c r="DB23" s="4">
        <v>36</v>
      </c>
      <c r="DC23" s="4">
        <v>0</v>
      </c>
      <c r="DD23" s="4">
        <v>2</v>
      </c>
      <c r="DE23" s="4">
        <v>3</v>
      </c>
      <c r="DF23" s="4">
        <v>1</v>
      </c>
      <c r="DG23" s="4">
        <v>42</v>
      </c>
      <c r="DH23" s="4">
        <v>0</v>
      </c>
      <c r="DI23" s="4">
        <v>5</v>
      </c>
      <c r="DJ23" s="4">
        <v>20</v>
      </c>
      <c r="DK23" s="4">
        <v>32</v>
      </c>
      <c r="DL23" s="4">
        <v>20</v>
      </c>
      <c r="DM23" s="4">
        <v>23</v>
      </c>
      <c r="DN23" s="4">
        <v>55</v>
      </c>
      <c r="DO23" s="4">
        <v>0</v>
      </c>
      <c r="DP23" s="4">
        <v>46</v>
      </c>
      <c r="DQ23" s="4">
        <v>0</v>
      </c>
      <c r="DR23" s="4">
        <v>20</v>
      </c>
      <c r="DS23" s="4">
        <v>58</v>
      </c>
      <c r="DT23" s="4">
        <v>57</v>
      </c>
      <c r="DU23" s="4">
        <v>31</v>
      </c>
      <c r="DV23" s="4">
        <v>1</v>
      </c>
      <c r="DW23" s="4">
        <v>22</v>
      </c>
      <c r="DX23" s="4">
        <v>1</v>
      </c>
      <c r="DY23" s="4">
        <v>25</v>
      </c>
      <c r="DZ23" s="4">
        <v>52</v>
      </c>
      <c r="EA23" s="4">
        <v>37</v>
      </c>
      <c r="EB23" s="4">
        <v>74</v>
      </c>
      <c r="EC23" s="4">
        <v>2</v>
      </c>
      <c r="ED23" s="4">
        <v>4</v>
      </c>
      <c r="EE23" s="4">
        <v>31</v>
      </c>
      <c r="EF23" s="4">
        <v>0</v>
      </c>
      <c r="EG23" s="4">
        <v>3</v>
      </c>
      <c r="EH23" s="4">
        <v>10</v>
      </c>
      <c r="EI23" s="4">
        <v>8</v>
      </c>
      <c r="EJ23" s="4">
        <v>46</v>
      </c>
      <c r="EK23" s="4">
        <v>0</v>
      </c>
      <c r="EL23" s="4">
        <v>13</v>
      </c>
      <c r="EM23" s="4">
        <v>13</v>
      </c>
      <c r="EN23" s="4">
        <v>25</v>
      </c>
      <c r="EO23" s="4">
        <v>15</v>
      </c>
      <c r="EP23" s="4">
        <v>7</v>
      </c>
      <c r="EQ23" s="4">
        <v>40</v>
      </c>
      <c r="ER23" s="4">
        <v>0</v>
      </c>
      <c r="ES23" s="4">
        <v>43</v>
      </c>
      <c r="ET23" s="4">
        <v>16</v>
      </c>
      <c r="EU23" s="4">
        <v>19</v>
      </c>
      <c r="EV23" s="4">
        <v>44</v>
      </c>
      <c r="EW23" s="4">
        <v>40</v>
      </c>
      <c r="EX23" s="4">
        <v>44</v>
      </c>
      <c r="EY23" s="4">
        <v>11</v>
      </c>
      <c r="EZ23" s="4">
        <v>33</v>
      </c>
      <c r="FA23" s="4">
        <v>0</v>
      </c>
      <c r="FB23" s="4">
        <v>12</v>
      </c>
      <c r="FC23" s="4">
        <v>43</v>
      </c>
      <c r="FD23" s="4">
        <v>41</v>
      </c>
      <c r="FE23" s="4">
        <v>62</v>
      </c>
      <c r="FF23" s="4">
        <v>2</v>
      </c>
      <c r="FG23" s="4">
        <v>3</v>
      </c>
      <c r="FH23" s="4">
        <v>22</v>
      </c>
      <c r="FI23" s="4">
        <v>0</v>
      </c>
      <c r="FJ23" s="4">
        <v>9</v>
      </c>
      <c r="FK23" s="4">
        <v>16</v>
      </c>
      <c r="FL23" s="4">
        <v>8</v>
      </c>
      <c r="FM23" s="4">
        <v>47</v>
      </c>
      <c r="FN23" s="4">
        <v>0</v>
      </c>
      <c r="FO23" s="4">
        <v>7</v>
      </c>
      <c r="FP23" s="4">
        <v>8</v>
      </c>
      <c r="FQ23" s="4">
        <v>23</v>
      </c>
      <c r="FR23" s="4">
        <v>15</v>
      </c>
      <c r="FS23" s="4">
        <v>6</v>
      </c>
      <c r="FT23" s="4">
        <v>37</v>
      </c>
      <c r="FU23" s="4">
        <v>0</v>
      </c>
      <c r="FV23" s="4">
        <v>43</v>
      </c>
      <c r="FW23" s="4">
        <v>26</v>
      </c>
      <c r="FX23" s="4">
        <v>23</v>
      </c>
      <c r="FY23" s="4">
        <v>40</v>
      </c>
      <c r="FZ23" s="4">
        <v>36</v>
      </c>
      <c r="GA23" s="4">
        <v>42</v>
      </c>
      <c r="GB23" s="4">
        <v>29</v>
      </c>
      <c r="GC23" s="4">
        <v>35</v>
      </c>
      <c r="GD23" s="4">
        <v>0</v>
      </c>
      <c r="GE23" s="4">
        <v>7</v>
      </c>
      <c r="GF23" s="4">
        <v>38</v>
      </c>
      <c r="GG23" s="4">
        <v>50</v>
      </c>
      <c r="GH23" s="4">
        <v>54</v>
      </c>
      <c r="GJ23" s="4">
        <v>10</v>
      </c>
      <c r="GK23" s="4">
        <v>2</v>
      </c>
      <c r="GL23" s="4">
        <v>25</v>
      </c>
    </row>
    <row r="24" spans="19:194" hidden="1" x14ac:dyDescent="0.25">
      <c r="V24" s="12">
        <v>185</v>
      </c>
      <c r="W24" s="13"/>
      <c r="BV24" s="4">
        <v>9</v>
      </c>
      <c r="BW24" s="4">
        <v>8</v>
      </c>
      <c r="BX24" s="4">
        <v>20</v>
      </c>
      <c r="BY24" s="4">
        <v>43</v>
      </c>
      <c r="BZ24" s="4">
        <v>0</v>
      </c>
      <c r="CA24" s="4">
        <v>1</v>
      </c>
      <c r="CB24" s="4">
        <v>1</v>
      </c>
      <c r="CC24" s="4">
        <v>6</v>
      </c>
      <c r="CD24" s="4">
        <v>46</v>
      </c>
      <c r="CE24" s="4">
        <v>0</v>
      </c>
      <c r="CF24" s="4">
        <v>16</v>
      </c>
      <c r="CG24" s="4">
        <v>25</v>
      </c>
      <c r="CH24" s="4">
        <v>39</v>
      </c>
      <c r="CI24" s="4">
        <v>30</v>
      </c>
      <c r="CJ24" s="4">
        <v>27</v>
      </c>
      <c r="CK24" s="4">
        <v>60</v>
      </c>
      <c r="CL24" s="4">
        <v>0</v>
      </c>
      <c r="CM24" s="4">
        <v>50</v>
      </c>
      <c r="CN24" s="4">
        <v>5</v>
      </c>
      <c r="CO24" s="4">
        <v>26</v>
      </c>
      <c r="CP24" s="4">
        <v>63</v>
      </c>
      <c r="CQ24" s="4">
        <v>58</v>
      </c>
      <c r="CR24" s="4">
        <v>44</v>
      </c>
      <c r="CS24" s="4">
        <v>4</v>
      </c>
      <c r="CT24" s="4">
        <v>28</v>
      </c>
      <c r="CU24" s="4">
        <v>3</v>
      </c>
      <c r="CV24" s="4">
        <v>35</v>
      </c>
      <c r="CW24" s="4">
        <v>59</v>
      </c>
      <c r="CX24" s="4">
        <v>43</v>
      </c>
      <c r="CY24" s="4">
        <v>80</v>
      </c>
      <c r="CZ24" s="4">
        <v>6</v>
      </c>
      <c r="DA24" s="4">
        <v>12</v>
      </c>
      <c r="DB24" s="4">
        <v>40</v>
      </c>
      <c r="DC24" s="4">
        <v>0</v>
      </c>
      <c r="DD24" s="4">
        <v>3</v>
      </c>
      <c r="DE24" s="4">
        <v>3</v>
      </c>
      <c r="DF24" s="4">
        <v>4</v>
      </c>
      <c r="DG24" s="4">
        <v>43</v>
      </c>
      <c r="DH24" s="4">
        <v>0</v>
      </c>
      <c r="DI24" s="4">
        <v>10</v>
      </c>
      <c r="DJ24" s="4">
        <v>22</v>
      </c>
      <c r="DK24" s="4">
        <v>34</v>
      </c>
      <c r="DL24" s="4">
        <v>23</v>
      </c>
      <c r="DM24" s="4">
        <v>26</v>
      </c>
      <c r="DN24" s="4">
        <v>57</v>
      </c>
      <c r="DO24" s="4">
        <v>0</v>
      </c>
      <c r="DP24" s="4">
        <v>50</v>
      </c>
      <c r="DQ24" s="4">
        <v>0</v>
      </c>
      <c r="DR24" s="4">
        <v>23</v>
      </c>
      <c r="DS24" s="4">
        <v>60</v>
      </c>
      <c r="DT24" s="4">
        <v>59</v>
      </c>
      <c r="DU24" s="4">
        <v>34</v>
      </c>
      <c r="DV24" s="4">
        <v>4</v>
      </c>
      <c r="DW24" s="4">
        <v>24</v>
      </c>
      <c r="DX24" s="4">
        <v>1</v>
      </c>
      <c r="DY24" s="4">
        <v>33</v>
      </c>
      <c r="DZ24" s="4">
        <v>53</v>
      </c>
      <c r="EA24" s="4">
        <v>42</v>
      </c>
      <c r="EB24" s="4">
        <v>77</v>
      </c>
      <c r="EC24" s="4">
        <v>2</v>
      </c>
      <c r="ED24" s="4">
        <v>6</v>
      </c>
      <c r="EE24" s="4">
        <v>33</v>
      </c>
      <c r="EF24" s="4">
        <v>0</v>
      </c>
      <c r="EG24" s="4">
        <v>5</v>
      </c>
      <c r="EH24" s="4">
        <v>15</v>
      </c>
      <c r="EI24" s="4">
        <v>16</v>
      </c>
      <c r="EJ24" s="4">
        <v>48</v>
      </c>
      <c r="EK24" s="4">
        <v>1</v>
      </c>
      <c r="EL24" s="4">
        <v>17</v>
      </c>
      <c r="EM24" s="4">
        <v>16</v>
      </c>
      <c r="EN24" s="4">
        <v>25</v>
      </c>
      <c r="EO24" s="4">
        <v>20</v>
      </c>
      <c r="EP24" s="4">
        <v>8</v>
      </c>
      <c r="EQ24" s="4">
        <v>41</v>
      </c>
      <c r="ER24" s="4">
        <v>0</v>
      </c>
      <c r="ES24" s="4">
        <v>47</v>
      </c>
      <c r="ET24" s="4">
        <v>20</v>
      </c>
      <c r="EU24" s="4">
        <v>28</v>
      </c>
      <c r="EV24" s="4">
        <v>47</v>
      </c>
      <c r="EW24" s="4">
        <v>42</v>
      </c>
      <c r="EX24" s="4">
        <v>48</v>
      </c>
      <c r="EY24" s="4">
        <v>15</v>
      </c>
      <c r="EZ24" s="4">
        <v>40</v>
      </c>
      <c r="FA24" s="4">
        <v>1</v>
      </c>
      <c r="FB24" s="4">
        <v>14</v>
      </c>
      <c r="FC24" s="4">
        <v>45</v>
      </c>
      <c r="FD24" s="4">
        <v>50</v>
      </c>
      <c r="FE24" s="4">
        <v>65</v>
      </c>
      <c r="FF24" s="4">
        <v>2</v>
      </c>
      <c r="FG24" s="4">
        <v>6</v>
      </c>
      <c r="FH24" s="4">
        <v>27</v>
      </c>
      <c r="FI24" s="4">
        <v>0</v>
      </c>
      <c r="FJ24" s="4">
        <v>10</v>
      </c>
      <c r="FK24" s="4">
        <v>20</v>
      </c>
      <c r="FL24" s="4">
        <v>11</v>
      </c>
      <c r="FM24" s="4">
        <v>50</v>
      </c>
      <c r="FN24" s="4">
        <v>0</v>
      </c>
      <c r="FO24" s="4">
        <v>11</v>
      </c>
      <c r="FP24" s="4">
        <v>10</v>
      </c>
      <c r="FQ24" s="4">
        <v>24</v>
      </c>
      <c r="FR24" s="4">
        <v>20</v>
      </c>
      <c r="FS24" s="4">
        <v>9</v>
      </c>
      <c r="FT24" s="4">
        <v>40</v>
      </c>
      <c r="FU24" s="4">
        <v>0</v>
      </c>
      <c r="FV24" s="4">
        <v>48</v>
      </c>
      <c r="FW24" s="4">
        <v>30</v>
      </c>
      <c r="FX24" s="4">
        <v>27</v>
      </c>
      <c r="FY24" s="4">
        <v>43</v>
      </c>
      <c r="FZ24" s="4">
        <v>38</v>
      </c>
      <c r="GA24" s="4">
        <v>45</v>
      </c>
      <c r="GB24" s="4">
        <v>33</v>
      </c>
      <c r="GC24" s="4">
        <v>40</v>
      </c>
      <c r="GD24" s="4">
        <v>0</v>
      </c>
      <c r="GE24" s="4">
        <v>14</v>
      </c>
      <c r="GF24" s="4">
        <v>40</v>
      </c>
      <c r="GG24" s="4">
        <v>58</v>
      </c>
      <c r="GH24" s="4">
        <v>60</v>
      </c>
      <c r="GJ24" s="4">
        <v>11</v>
      </c>
      <c r="GK24" s="4">
        <v>2</v>
      </c>
      <c r="GL24" s="4">
        <v>25</v>
      </c>
    </row>
    <row r="25" spans="19:194" hidden="1" x14ac:dyDescent="0.25">
      <c r="S25" s="12"/>
      <c r="T25" s="12"/>
      <c r="U25" s="12"/>
      <c r="V25" s="12"/>
      <c r="W25" s="13"/>
      <c r="BV25" s="4">
        <v>10</v>
      </c>
      <c r="BW25" s="4">
        <v>11</v>
      </c>
      <c r="BX25" s="4">
        <v>22</v>
      </c>
      <c r="BY25" s="4">
        <v>45</v>
      </c>
      <c r="BZ25" s="4">
        <v>0</v>
      </c>
      <c r="CA25" s="4">
        <v>2</v>
      </c>
      <c r="CB25" s="4">
        <v>2</v>
      </c>
      <c r="CC25" s="4">
        <v>8</v>
      </c>
      <c r="CD25" s="4">
        <v>48</v>
      </c>
      <c r="CE25" s="4">
        <v>0</v>
      </c>
      <c r="CF25" s="4">
        <v>17</v>
      </c>
      <c r="CG25" s="4">
        <v>28</v>
      </c>
      <c r="CH25" s="4">
        <v>43</v>
      </c>
      <c r="CI25" s="4">
        <v>4</v>
      </c>
      <c r="CJ25" s="4">
        <v>29</v>
      </c>
      <c r="CK25" s="4">
        <v>64</v>
      </c>
      <c r="CL25" s="4">
        <v>0</v>
      </c>
      <c r="CM25" s="4">
        <v>55</v>
      </c>
      <c r="CN25" s="4">
        <v>5</v>
      </c>
      <c r="CO25" s="4">
        <v>35</v>
      </c>
      <c r="CP25" s="4">
        <v>67</v>
      </c>
      <c r="CQ25" s="4">
        <v>60</v>
      </c>
      <c r="CR25" s="4">
        <v>47</v>
      </c>
      <c r="CS25" s="4">
        <v>5</v>
      </c>
      <c r="CT25" s="4">
        <v>32</v>
      </c>
      <c r="CU25" s="4">
        <v>3</v>
      </c>
      <c r="CV25" s="4">
        <v>40</v>
      </c>
      <c r="CW25" s="4">
        <v>61</v>
      </c>
      <c r="CX25" s="4">
        <v>51</v>
      </c>
      <c r="CY25" s="4">
        <v>82</v>
      </c>
      <c r="CZ25" s="4">
        <v>9</v>
      </c>
      <c r="DA25" s="4">
        <v>20</v>
      </c>
      <c r="DB25" s="4">
        <v>43</v>
      </c>
      <c r="DC25" s="4">
        <v>0</v>
      </c>
      <c r="DD25" s="4">
        <v>3</v>
      </c>
      <c r="DE25" s="4">
        <v>4</v>
      </c>
      <c r="DF25" s="4">
        <v>4</v>
      </c>
      <c r="DG25" s="4">
        <v>45</v>
      </c>
      <c r="DH25" s="4">
        <v>0</v>
      </c>
      <c r="DI25" s="4">
        <v>11</v>
      </c>
      <c r="DJ25" s="4">
        <v>24</v>
      </c>
      <c r="DK25" s="4">
        <v>40</v>
      </c>
      <c r="DL25" s="4">
        <v>27</v>
      </c>
      <c r="DM25" s="4">
        <v>29</v>
      </c>
      <c r="DN25" s="4">
        <v>60</v>
      </c>
      <c r="DO25" s="4">
        <v>0</v>
      </c>
      <c r="DP25" s="4">
        <v>55</v>
      </c>
      <c r="DQ25" s="4">
        <v>5</v>
      </c>
      <c r="DR25" s="4">
        <v>27</v>
      </c>
      <c r="DS25" s="4">
        <v>61</v>
      </c>
      <c r="DT25" s="4">
        <v>60</v>
      </c>
      <c r="DU25" s="4">
        <v>38</v>
      </c>
      <c r="DV25" s="4">
        <v>6</v>
      </c>
      <c r="DW25" s="4">
        <v>26</v>
      </c>
      <c r="DX25" s="4">
        <v>1</v>
      </c>
      <c r="DY25" s="4">
        <v>40</v>
      </c>
      <c r="DZ25" s="4">
        <v>57</v>
      </c>
      <c r="EA25" s="4">
        <v>45</v>
      </c>
      <c r="EB25" s="4">
        <v>82</v>
      </c>
      <c r="EC25" s="4">
        <v>4</v>
      </c>
      <c r="ED25" s="4">
        <v>7</v>
      </c>
      <c r="EE25" s="4">
        <v>37</v>
      </c>
      <c r="EF25" s="4">
        <v>0</v>
      </c>
      <c r="EG25" s="4">
        <v>7</v>
      </c>
      <c r="EH25" s="4">
        <v>20</v>
      </c>
      <c r="EI25" s="4">
        <v>20</v>
      </c>
      <c r="EJ25" s="4">
        <v>50</v>
      </c>
      <c r="EK25" s="4">
        <v>1</v>
      </c>
      <c r="EL25" s="4">
        <v>20</v>
      </c>
      <c r="EM25" s="4">
        <v>20</v>
      </c>
      <c r="EN25" s="4">
        <v>32</v>
      </c>
      <c r="EO25" s="4">
        <v>25</v>
      </c>
      <c r="EP25" s="4">
        <v>11</v>
      </c>
      <c r="EQ25" s="4">
        <v>43</v>
      </c>
      <c r="ER25" s="4">
        <v>0</v>
      </c>
      <c r="ES25" s="4">
        <v>50</v>
      </c>
      <c r="ET25" s="4">
        <v>25</v>
      </c>
      <c r="EU25" s="4">
        <v>35</v>
      </c>
      <c r="EV25" s="4">
        <v>50</v>
      </c>
      <c r="EW25" s="4">
        <v>43</v>
      </c>
      <c r="EX25" s="4">
        <v>50</v>
      </c>
      <c r="EY25" s="4">
        <v>17</v>
      </c>
      <c r="EZ25" s="4">
        <v>42</v>
      </c>
      <c r="FA25" s="4">
        <v>1</v>
      </c>
      <c r="FB25" s="4">
        <v>17</v>
      </c>
      <c r="FC25" s="4">
        <v>47</v>
      </c>
      <c r="FD25" s="4">
        <v>60</v>
      </c>
      <c r="FE25" s="4">
        <v>69</v>
      </c>
      <c r="FF25" s="4">
        <v>2</v>
      </c>
      <c r="FG25" s="4">
        <v>7</v>
      </c>
      <c r="FH25" s="4">
        <v>29</v>
      </c>
      <c r="FI25" s="4">
        <v>0</v>
      </c>
      <c r="FJ25" s="4">
        <v>10</v>
      </c>
      <c r="FK25" s="4">
        <v>25</v>
      </c>
      <c r="FL25" s="4">
        <v>16</v>
      </c>
      <c r="FM25" s="4">
        <v>56</v>
      </c>
      <c r="FN25" s="4">
        <v>0</v>
      </c>
      <c r="FO25" s="4">
        <v>15</v>
      </c>
      <c r="FP25" s="4">
        <v>12</v>
      </c>
      <c r="FQ25" s="4">
        <v>28</v>
      </c>
      <c r="FR25" s="4">
        <v>23</v>
      </c>
      <c r="FS25" s="4">
        <v>10</v>
      </c>
      <c r="FT25" s="4">
        <v>41</v>
      </c>
      <c r="FU25" s="4">
        <v>0</v>
      </c>
      <c r="FV25" s="4">
        <v>50</v>
      </c>
      <c r="FW25" s="4">
        <v>34</v>
      </c>
      <c r="FX25" s="4">
        <v>30</v>
      </c>
      <c r="FY25" s="4">
        <v>46</v>
      </c>
      <c r="FZ25" s="4">
        <v>40</v>
      </c>
      <c r="GA25" s="4">
        <v>46</v>
      </c>
      <c r="GB25" s="4">
        <v>38</v>
      </c>
      <c r="GC25" s="4">
        <v>42</v>
      </c>
      <c r="GD25" s="4">
        <v>0</v>
      </c>
      <c r="GE25" s="4">
        <v>16</v>
      </c>
      <c r="GF25" s="4">
        <v>42</v>
      </c>
      <c r="GG25" s="4">
        <v>66</v>
      </c>
      <c r="GH25" s="4">
        <v>64</v>
      </c>
      <c r="GJ25" s="4">
        <v>12</v>
      </c>
      <c r="GK25" s="4">
        <v>2</v>
      </c>
      <c r="GL25" s="4">
        <v>25</v>
      </c>
    </row>
    <row r="26" spans="19:194" hidden="1" x14ac:dyDescent="0.25">
      <c r="S26" s="12"/>
      <c r="T26" s="12"/>
      <c r="U26" s="12"/>
      <c r="V26" s="12"/>
      <c r="W26" s="13"/>
      <c r="BV26" s="4">
        <v>11</v>
      </c>
      <c r="BW26" s="4">
        <v>16</v>
      </c>
      <c r="BX26" s="4">
        <v>25</v>
      </c>
      <c r="BY26" s="4">
        <v>46</v>
      </c>
      <c r="BZ26" s="4">
        <v>0</v>
      </c>
      <c r="CA26" s="4">
        <v>3</v>
      </c>
      <c r="CB26" s="4">
        <v>2</v>
      </c>
      <c r="CC26" s="4">
        <v>10</v>
      </c>
      <c r="CD26" s="4">
        <v>50</v>
      </c>
      <c r="CE26" s="4">
        <v>0</v>
      </c>
      <c r="CF26" s="4">
        <v>20</v>
      </c>
      <c r="CG26" s="4">
        <v>30</v>
      </c>
      <c r="CH26" s="4">
        <v>44</v>
      </c>
      <c r="CI26" s="4">
        <v>40</v>
      </c>
      <c r="CJ26" s="4">
        <v>32</v>
      </c>
      <c r="CK26" s="4">
        <v>66</v>
      </c>
      <c r="CL26" s="4">
        <v>1</v>
      </c>
      <c r="CM26" s="4">
        <v>61</v>
      </c>
      <c r="CN26" s="4">
        <v>6</v>
      </c>
      <c r="CO26" s="4">
        <v>37</v>
      </c>
      <c r="CP26" s="4">
        <v>69</v>
      </c>
      <c r="CQ26" s="4">
        <v>61</v>
      </c>
      <c r="CR26" s="4">
        <v>48</v>
      </c>
      <c r="CS26" s="4">
        <v>6</v>
      </c>
      <c r="CT26" s="4">
        <v>35</v>
      </c>
      <c r="CU26" s="4">
        <v>3</v>
      </c>
      <c r="CV26" s="4">
        <v>42</v>
      </c>
      <c r="CW26" s="4">
        <v>62</v>
      </c>
      <c r="CX26" s="4">
        <v>58</v>
      </c>
      <c r="CY26" s="4">
        <v>84</v>
      </c>
      <c r="CZ26" s="4">
        <v>9</v>
      </c>
      <c r="DA26" s="4">
        <v>25</v>
      </c>
      <c r="DB26" s="4">
        <v>44</v>
      </c>
      <c r="DC26" s="4">
        <v>0</v>
      </c>
      <c r="DD26" s="4">
        <v>6</v>
      </c>
      <c r="DE26" s="4">
        <v>4</v>
      </c>
      <c r="DF26" s="4">
        <v>6</v>
      </c>
      <c r="DG26" s="4">
        <v>47</v>
      </c>
      <c r="DH26" s="4">
        <v>0</v>
      </c>
      <c r="DI26" s="4">
        <v>17</v>
      </c>
      <c r="DJ26" s="4">
        <v>25</v>
      </c>
      <c r="DK26" s="4">
        <v>41</v>
      </c>
      <c r="DL26" s="4">
        <v>31</v>
      </c>
      <c r="DM26" s="4">
        <v>31</v>
      </c>
      <c r="DN26" s="4">
        <v>62</v>
      </c>
      <c r="DO26" s="4">
        <v>1</v>
      </c>
      <c r="DP26" s="4">
        <v>58</v>
      </c>
      <c r="DQ26" s="4">
        <v>7</v>
      </c>
      <c r="DR26" s="4">
        <v>30</v>
      </c>
      <c r="DS26" s="4">
        <v>65</v>
      </c>
      <c r="DT26" s="4">
        <v>63</v>
      </c>
      <c r="DU26" s="4">
        <v>40</v>
      </c>
      <c r="DV26" s="4">
        <v>6</v>
      </c>
      <c r="DW26" s="4">
        <v>28</v>
      </c>
      <c r="DX26" s="4">
        <v>1</v>
      </c>
      <c r="DY26" s="4">
        <v>43</v>
      </c>
      <c r="DZ26" s="4">
        <v>60</v>
      </c>
      <c r="EA26" s="4">
        <v>64</v>
      </c>
      <c r="EB26" s="4">
        <v>84</v>
      </c>
      <c r="EC26" s="4">
        <v>5</v>
      </c>
      <c r="ED26" s="4">
        <v>11</v>
      </c>
      <c r="EE26" s="4">
        <v>40</v>
      </c>
      <c r="EF26" s="4">
        <v>0</v>
      </c>
      <c r="EG26" s="4">
        <v>9</v>
      </c>
      <c r="EH26" s="4">
        <v>21</v>
      </c>
      <c r="EI26" s="4">
        <v>21</v>
      </c>
      <c r="EJ26" s="4">
        <v>53</v>
      </c>
      <c r="EK26" s="4">
        <v>1</v>
      </c>
      <c r="EL26" s="4">
        <v>22</v>
      </c>
      <c r="EM26" s="4">
        <v>22</v>
      </c>
      <c r="EN26" s="4">
        <v>34</v>
      </c>
      <c r="EO26" s="4">
        <v>30</v>
      </c>
      <c r="EP26" s="4">
        <v>15</v>
      </c>
      <c r="EQ26" s="4">
        <v>45</v>
      </c>
      <c r="ER26" s="4">
        <v>0</v>
      </c>
      <c r="ES26" s="4">
        <v>52</v>
      </c>
      <c r="ET26" s="4">
        <v>30</v>
      </c>
      <c r="EU26" s="4">
        <v>40</v>
      </c>
      <c r="EV26" s="4">
        <v>54</v>
      </c>
      <c r="EW26" s="4">
        <v>45</v>
      </c>
      <c r="EX26" s="4">
        <v>55</v>
      </c>
      <c r="EY26" s="4">
        <v>24</v>
      </c>
      <c r="EZ26" s="4">
        <v>45</v>
      </c>
      <c r="FA26" s="4">
        <v>1</v>
      </c>
      <c r="FB26" s="4">
        <v>20</v>
      </c>
      <c r="FC26" s="4">
        <v>49</v>
      </c>
      <c r="FD26" s="4">
        <v>68</v>
      </c>
      <c r="FE26" s="4">
        <v>75</v>
      </c>
      <c r="FF26" s="4">
        <v>3</v>
      </c>
      <c r="FG26" s="4">
        <v>10</v>
      </c>
      <c r="FH26" s="4">
        <v>32</v>
      </c>
      <c r="FI26" s="4">
        <v>0</v>
      </c>
      <c r="FJ26" s="4">
        <v>12</v>
      </c>
      <c r="FK26" s="4">
        <v>26</v>
      </c>
      <c r="FL26" s="4">
        <v>20</v>
      </c>
      <c r="FM26" s="4">
        <v>59</v>
      </c>
      <c r="FN26" s="4">
        <v>0</v>
      </c>
      <c r="FO26" s="4">
        <v>20</v>
      </c>
      <c r="FP26" s="4">
        <v>13</v>
      </c>
      <c r="FQ26" s="4">
        <v>29</v>
      </c>
      <c r="FR26" s="4">
        <v>28</v>
      </c>
      <c r="FS26" s="4">
        <v>15</v>
      </c>
      <c r="FT26" s="4">
        <v>42</v>
      </c>
      <c r="FU26" s="4">
        <v>1</v>
      </c>
      <c r="FV26" s="4">
        <v>54</v>
      </c>
      <c r="FW26" s="4">
        <v>40</v>
      </c>
      <c r="FX26" s="4">
        <v>32</v>
      </c>
      <c r="FY26" s="4">
        <v>50</v>
      </c>
      <c r="FZ26" s="4">
        <v>42</v>
      </c>
      <c r="GA26" s="4">
        <v>50</v>
      </c>
      <c r="GB26" s="4">
        <v>40</v>
      </c>
      <c r="GC26" s="4">
        <v>44</v>
      </c>
      <c r="GD26" s="4">
        <v>0</v>
      </c>
      <c r="GE26" s="4">
        <v>20</v>
      </c>
      <c r="GF26" s="4">
        <v>43</v>
      </c>
      <c r="GG26" s="4">
        <v>74</v>
      </c>
      <c r="GH26" s="4">
        <v>69</v>
      </c>
      <c r="GJ26" s="4">
        <v>13</v>
      </c>
      <c r="GK26" s="4">
        <v>2</v>
      </c>
      <c r="GL26" s="4">
        <v>25</v>
      </c>
    </row>
    <row r="27" spans="19:194" hidden="1" x14ac:dyDescent="0.25">
      <c r="S27" s="12"/>
      <c r="T27" s="12"/>
      <c r="U27" s="12"/>
      <c r="V27" s="12"/>
      <c r="W27" s="13"/>
      <c r="BV27" s="4">
        <v>12</v>
      </c>
      <c r="BW27" s="4">
        <v>20</v>
      </c>
      <c r="BX27" s="4">
        <v>29</v>
      </c>
      <c r="BY27" s="4">
        <v>47</v>
      </c>
      <c r="BZ27" s="4">
        <v>1</v>
      </c>
      <c r="CA27" s="4">
        <v>4</v>
      </c>
      <c r="CB27" s="4">
        <v>3</v>
      </c>
      <c r="CC27" s="4">
        <v>12</v>
      </c>
      <c r="CD27" s="4">
        <v>55</v>
      </c>
      <c r="CE27" s="4">
        <v>0</v>
      </c>
      <c r="CF27" s="4">
        <v>24</v>
      </c>
      <c r="CG27" s="4">
        <v>33</v>
      </c>
      <c r="CH27" s="4">
        <v>46</v>
      </c>
      <c r="CI27" s="4">
        <v>43</v>
      </c>
      <c r="CJ27" s="4">
        <v>35</v>
      </c>
      <c r="CK27" s="4">
        <v>69</v>
      </c>
      <c r="CL27" s="4">
        <v>1</v>
      </c>
      <c r="CM27" s="4">
        <v>64</v>
      </c>
      <c r="CN27" s="4">
        <v>8</v>
      </c>
      <c r="CO27" s="4">
        <v>42</v>
      </c>
      <c r="CP27" s="4">
        <v>71</v>
      </c>
      <c r="CQ27" s="4">
        <v>63</v>
      </c>
      <c r="CR27" s="4">
        <v>50</v>
      </c>
      <c r="CS27" s="4">
        <v>9</v>
      </c>
      <c r="CT27" s="4">
        <v>40</v>
      </c>
      <c r="CU27" s="4">
        <v>4</v>
      </c>
      <c r="CV27" s="4">
        <v>44</v>
      </c>
      <c r="CW27" s="4">
        <v>65</v>
      </c>
      <c r="CX27" s="4">
        <v>67</v>
      </c>
      <c r="CY27" s="4">
        <v>90</v>
      </c>
      <c r="CZ27" s="4">
        <v>10</v>
      </c>
      <c r="DA27" s="4">
        <v>31</v>
      </c>
      <c r="DB27" s="4">
        <v>45</v>
      </c>
      <c r="DC27" s="4">
        <v>0</v>
      </c>
      <c r="DD27" s="4">
        <v>6</v>
      </c>
      <c r="DE27" s="4">
        <v>4</v>
      </c>
      <c r="DF27" s="4">
        <v>7</v>
      </c>
      <c r="DG27" s="4">
        <v>50</v>
      </c>
      <c r="DH27" s="4">
        <v>0</v>
      </c>
      <c r="DI27" s="4">
        <v>20</v>
      </c>
      <c r="DJ27" s="4">
        <v>26</v>
      </c>
      <c r="DK27" s="4">
        <v>45</v>
      </c>
      <c r="DL27" s="4">
        <v>35</v>
      </c>
      <c r="DM27" s="4">
        <v>33</v>
      </c>
      <c r="DN27" s="4">
        <v>65</v>
      </c>
      <c r="DO27" s="4">
        <v>3</v>
      </c>
      <c r="DP27" s="4">
        <v>62</v>
      </c>
      <c r="DQ27" s="4">
        <v>12</v>
      </c>
      <c r="DR27" s="4">
        <v>33</v>
      </c>
      <c r="DS27" s="4">
        <v>69</v>
      </c>
      <c r="DT27" s="4">
        <v>66</v>
      </c>
      <c r="DU27" s="4">
        <v>41</v>
      </c>
      <c r="DV27" s="4">
        <v>7</v>
      </c>
      <c r="DW27" s="4">
        <v>35</v>
      </c>
      <c r="DX27" s="4">
        <v>1</v>
      </c>
      <c r="DY27" s="4">
        <v>46</v>
      </c>
      <c r="DZ27" s="4">
        <v>62</v>
      </c>
      <c r="EA27" s="4">
        <v>74</v>
      </c>
      <c r="EB27" s="4">
        <v>90</v>
      </c>
      <c r="EC27" s="4">
        <v>6</v>
      </c>
      <c r="ED27" s="4">
        <v>14</v>
      </c>
      <c r="EE27" s="4">
        <v>41</v>
      </c>
      <c r="EF27" s="4">
        <v>1</v>
      </c>
      <c r="EG27" s="4">
        <v>11</v>
      </c>
      <c r="EH27" s="4">
        <v>23</v>
      </c>
      <c r="EI27" s="4">
        <v>23</v>
      </c>
      <c r="EJ27" s="4">
        <v>58</v>
      </c>
      <c r="EK27" s="4">
        <v>1</v>
      </c>
      <c r="EL27" s="4">
        <v>24</v>
      </c>
      <c r="EM27" s="4">
        <v>23</v>
      </c>
      <c r="EN27" s="4">
        <v>40</v>
      </c>
      <c r="EO27" s="4">
        <v>35</v>
      </c>
      <c r="EP27" s="4">
        <v>17</v>
      </c>
      <c r="EQ27" s="4">
        <v>46</v>
      </c>
      <c r="ER27" s="4">
        <v>1</v>
      </c>
      <c r="ES27" s="4">
        <v>55</v>
      </c>
      <c r="ET27" s="4">
        <v>35</v>
      </c>
      <c r="EU27" s="4">
        <v>42</v>
      </c>
      <c r="EV27" s="4">
        <v>56</v>
      </c>
      <c r="EW27" s="4">
        <v>46</v>
      </c>
      <c r="EX27" s="4">
        <v>58</v>
      </c>
      <c r="EY27" s="4">
        <v>32</v>
      </c>
      <c r="EZ27" s="4">
        <v>48</v>
      </c>
      <c r="FA27" s="4">
        <v>1</v>
      </c>
      <c r="FB27" s="4">
        <v>24</v>
      </c>
      <c r="FC27" s="4">
        <v>50</v>
      </c>
      <c r="FD27" s="4">
        <v>75</v>
      </c>
      <c r="FE27" s="4">
        <v>81</v>
      </c>
      <c r="FF27" s="4">
        <v>4</v>
      </c>
      <c r="FG27" s="4">
        <v>12</v>
      </c>
      <c r="FH27" s="4">
        <v>34</v>
      </c>
      <c r="FI27" s="4">
        <v>0</v>
      </c>
      <c r="FJ27" s="4">
        <v>16</v>
      </c>
      <c r="FK27" s="4">
        <v>28</v>
      </c>
      <c r="FL27" s="4">
        <v>24</v>
      </c>
      <c r="FM27" s="4">
        <v>63</v>
      </c>
      <c r="FN27" s="4">
        <v>0</v>
      </c>
      <c r="FO27" s="4">
        <v>23</v>
      </c>
      <c r="FP27" s="4">
        <v>15</v>
      </c>
      <c r="FQ27" s="4">
        <v>34</v>
      </c>
      <c r="FR27" s="4">
        <v>32</v>
      </c>
      <c r="FS27" s="4">
        <v>18</v>
      </c>
      <c r="FT27" s="4">
        <v>43</v>
      </c>
      <c r="FU27" s="4">
        <v>1</v>
      </c>
      <c r="FV27" s="4">
        <v>57</v>
      </c>
      <c r="FW27" s="4">
        <v>41</v>
      </c>
      <c r="FX27" s="4">
        <v>35</v>
      </c>
      <c r="FY27" s="4">
        <v>53</v>
      </c>
      <c r="FZ27" s="4">
        <v>43</v>
      </c>
      <c r="GA27" s="4">
        <v>53</v>
      </c>
      <c r="GB27" s="4">
        <v>43</v>
      </c>
      <c r="GC27" s="4">
        <v>46</v>
      </c>
      <c r="GD27" s="4">
        <v>0</v>
      </c>
      <c r="GE27" s="4">
        <v>23</v>
      </c>
      <c r="GF27" s="4">
        <v>44</v>
      </c>
      <c r="GG27" s="4">
        <v>81</v>
      </c>
      <c r="GH27" s="4">
        <v>74</v>
      </c>
      <c r="GJ27" s="4">
        <v>14</v>
      </c>
      <c r="GK27" s="4">
        <v>2</v>
      </c>
      <c r="GL27" s="4">
        <v>25</v>
      </c>
    </row>
    <row r="28" spans="19:194" hidden="1" x14ac:dyDescent="0.25">
      <c r="S28" s="12"/>
      <c r="T28" s="12"/>
      <c r="U28" s="12"/>
      <c r="V28" s="12"/>
      <c r="W28" s="13"/>
      <c r="BV28" s="4">
        <v>13</v>
      </c>
      <c r="BW28" s="4">
        <v>21</v>
      </c>
      <c r="BX28" s="4">
        <v>32</v>
      </c>
      <c r="BY28" s="4">
        <v>48</v>
      </c>
      <c r="BZ28" s="4">
        <v>1</v>
      </c>
      <c r="CA28" s="4">
        <v>5</v>
      </c>
      <c r="CB28" s="4">
        <v>5</v>
      </c>
      <c r="CC28" s="4">
        <v>13</v>
      </c>
      <c r="CD28" s="4">
        <v>58</v>
      </c>
      <c r="CE28" s="4">
        <v>0</v>
      </c>
      <c r="CF28" s="4">
        <v>28</v>
      </c>
      <c r="CG28" s="4">
        <v>36</v>
      </c>
      <c r="CH28" s="4">
        <v>47</v>
      </c>
      <c r="CI28" s="4">
        <v>47</v>
      </c>
      <c r="CJ28" s="4">
        <v>40</v>
      </c>
      <c r="CK28" s="4">
        <v>71</v>
      </c>
      <c r="CL28" s="4">
        <v>2</v>
      </c>
      <c r="CM28" s="4">
        <v>67</v>
      </c>
      <c r="CN28" s="4">
        <v>9</v>
      </c>
      <c r="CO28" s="4">
        <v>45</v>
      </c>
      <c r="CP28" s="4">
        <v>72</v>
      </c>
      <c r="CQ28" s="4">
        <v>65</v>
      </c>
      <c r="CR28" s="4">
        <v>52</v>
      </c>
      <c r="CS28" s="4">
        <v>12</v>
      </c>
      <c r="CT28" s="4">
        <v>43</v>
      </c>
      <c r="CU28" s="4">
        <v>5</v>
      </c>
      <c r="CV28" s="4">
        <v>46</v>
      </c>
      <c r="CW28" s="4">
        <v>66</v>
      </c>
      <c r="CX28" s="4">
        <v>74</v>
      </c>
      <c r="CY28" s="4">
        <v>95</v>
      </c>
      <c r="CZ28" s="4">
        <v>16</v>
      </c>
      <c r="DA28" s="4">
        <v>36</v>
      </c>
      <c r="DB28" s="4">
        <v>46</v>
      </c>
      <c r="DC28" s="4">
        <v>0</v>
      </c>
      <c r="DD28" s="4">
        <v>6</v>
      </c>
      <c r="DE28" s="4">
        <v>6</v>
      </c>
      <c r="DF28" s="4">
        <v>12</v>
      </c>
      <c r="DG28" s="4">
        <v>55</v>
      </c>
      <c r="DH28" s="4">
        <v>0</v>
      </c>
      <c r="DI28" s="4">
        <v>24</v>
      </c>
      <c r="DJ28" s="4">
        <v>29</v>
      </c>
      <c r="DK28" s="4">
        <v>46</v>
      </c>
      <c r="DL28" s="4">
        <v>40</v>
      </c>
      <c r="DM28" s="4">
        <v>37</v>
      </c>
      <c r="DN28" s="4">
        <v>73</v>
      </c>
      <c r="DO28" s="4">
        <v>4</v>
      </c>
      <c r="DP28" s="4">
        <v>64</v>
      </c>
      <c r="DQ28" s="4">
        <v>15</v>
      </c>
      <c r="DR28" s="4">
        <v>40</v>
      </c>
      <c r="DS28" s="4">
        <v>73</v>
      </c>
      <c r="DT28" s="4">
        <v>67</v>
      </c>
      <c r="DU28" s="4">
        <v>43</v>
      </c>
      <c r="DV28" s="4">
        <v>12</v>
      </c>
      <c r="DW28" s="4">
        <v>40</v>
      </c>
      <c r="DX28" s="4">
        <v>2</v>
      </c>
      <c r="DY28" s="4">
        <v>47</v>
      </c>
      <c r="DZ28" s="4">
        <v>64</v>
      </c>
      <c r="EA28" s="4">
        <v>78</v>
      </c>
      <c r="EB28" s="4">
        <v>91</v>
      </c>
      <c r="EC28" s="4">
        <v>9</v>
      </c>
      <c r="ED28" s="4">
        <v>16</v>
      </c>
      <c r="EE28" s="4">
        <v>42</v>
      </c>
      <c r="EF28" s="4">
        <v>1</v>
      </c>
      <c r="EG28" s="4">
        <v>14</v>
      </c>
      <c r="EH28" s="4">
        <v>25</v>
      </c>
      <c r="EI28" s="4">
        <v>27</v>
      </c>
      <c r="EJ28" s="4">
        <v>61</v>
      </c>
      <c r="EK28" s="4">
        <v>1</v>
      </c>
      <c r="EL28" s="4">
        <v>26</v>
      </c>
      <c r="EM28" s="4">
        <v>25</v>
      </c>
      <c r="EN28" s="4">
        <v>41</v>
      </c>
      <c r="EO28" s="4">
        <v>40</v>
      </c>
      <c r="EP28" s="4">
        <v>19</v>
      </c>
      <c r="EQ28" s="4">
        <v>47</v>
      </c>
      <c r="ER28" s="4">
        <v>2</v>
      </c>
      <c r="ES28" s="4">
        <v>59</v>
      </c>
      <c r="ET28" s="4">
        <v>40</v>
      </c>
      <c r="EU28" s="4">
        <v>44</v>
      </c>
      <c r="EV28" s="4">
        <v>60</v>
      </c>
      <c r="EW28" s="4">
        <v>47</v>
      </c>
      <c r="EX28" s="4">
        <v>60</v>
      </c>
      <c r="EY28" s="4">
        <v>40</v>
      </c>
      <c r="EZ28" s="4">
        <v>50</v>
      </c>
      <c r="FA28" s="4">
        <v>1</v>
      </c>
      <c r="FB28" s="4">
        <v>29</v>
      </c>
      <c r="FC28" s="4">
        <v>51</v>
      </c>
      <c r="FD28" s="4">
        <v>85</v>
      </c>
      <c r="FE28" s="4">
        <v>85</v>
      </c>
      <c r="FF28" s="4">
        <v>7</v>
      </c>
      <c r="FG28" s="4">
        <v>14</v>
      </c>
      <c r="FH28" s="4">
        <v>35</v>
      </c>
      <c r="FI28" s="4">
        <v>0</v>
      </c>
      <c r="FJ28" s="4">
        <v>18</v>
      </c>
      <c r="FK28" s="4">
        <v>31</v>
      </c>
      <c r="FL28" s="4">
        <v>29</v>
      </c>
      <c r="FM28" s="4">
        <v>66</v>
      </c>
      <c r="FN28" s="4">
        <v>0</v>
      </c>
      <c r="FO28" s="4">
        <v>24</v>
      </c>
      <c r="FP28" s="4">
        <v>18</v>
      </c>
      <c r="FQ28" s="4">
        <v>35</v>
      </c>
      <c r="FR28" s="4">
        <v>35</v>
      </c>
      <c r="FS28" s="4">
        <v>20</v>
      </c>
      <c r="FT28" s="4">
        <v>44</v>
      </c>
      <c r="FU28" s="4">
        <v>1</v>
      </c>
      <c r="FV28" s="4">
        <v>60</v>
      </c>
      <c r="FW28" s="4">
        <v>44</v>
      </c>
      <c r="FX28" s="4">
        <v>40</v>
      </c>
      <c r="FY28" s="4">
        <v>58</v>
      </c>
      <c r="FZ28" s="4">
        <v>44</v>
      </c>
      <c r="GA28" s="4">
        <v>55</v>
      </c>
      <c r="GB28" s="4">
        <v>45</v>
      </c>
      <c r="GC28" s="4">
        <v>47</v>
      </c>
      <c r="GD28" s="4">
        <v>1</v>
      </c>
      <c r="GE28" s="4">
        <v>24</v>
      </c>
      <c r="GF28" s="4">
        <v>46</v>
      </c>
      <c r="GG28" s="4">
        <v>84</v>
      </c>
      <c r="GH28" s="4">
        <v>80</v>
      </c>
      <c r="GJ28" s="4">
        <v>15</v>
      </c>
      <c r="GK28" s="4">
        <v>2</v>
      </c>
      <c r="GL28" s="4">
        <v>25</v>
      </c>
    </row>
    <row r="29" spans="19:194" hidden="1" x14ac:dyDescent="0.25">
      <c r="S29" s="12"/>
      <c r="T29" s="12"/>
      <c r="U29" s="12"/>
      <c r="V29" s="12"/>
      <c r="W29" s="13"/>
      <c r="BV29" s="4">
        <v>14</v>
      </c>
      <c r="BW29" s="4">
        <v>24</v>
      </c>
      <c r="BX29" s="4">
        <v>36</v>
      </c>
      <c r="BY29" s="4">
        <v>50</v>
      </c>
      <c r="BZ29" s="4">
        <v>1</v>
      </c>
      <c r="CA29" s="4">
        <v>7</v>
      </c>
      <c r="CB29" s="4">
        <v>5</v>
      </c>
      <c r="CC29" s="4">
        <v>16</v>
      </c>
      <c r="CD29" s="4">
        <v>62</v>
      </c>
      <c r="CE29" s="4">
        <v>0</v>
      </c>
      <c r="CF29" s="4">
        <v>31</v>
      </c>
      <c r="CG29" s="4">
        <v>40</v>
      </c>
      <c r="CH29" s="4">
        <v>50</v>
      </c>
      <c r="CI29" s="4">
        <v>50</v>
      </c>
      <c r="CJ29" s="4">
        <v>42</v>
      </c>
      <c r="CK29" s="4">
        <v>72</v>
      </c>
      <c r="CL29" s="4">
        <v>3</v>
      </c>
      <c r="CM29" s="4">
        <v>70</v>
      </c>
      <c r="CN29" s="4">
        <v>14</v>
      </c>
      <c r="CO29" s="4">
        <v>48</v>
      </c>
      <c r="CP29" s="4">
        <v>75</v>
      </c>
      <c r="CQ29" s="4">
        <v>66</v>
      </c>
      <c r="CR29" s="4">
        <v>55</v>
      </c>
      <c r="CS29" s="4">
        <v>17</v>
      </c>
      <c r="CT29" s="4">
        <v>45</v>
      </c>
      <c r="CU29" s="4">
        <v>6</v>
      </c>
      <c r="CV29" s="4">
        <v>48</v>
      </c>
      <c r="CW29" s="4">
        <v>68</v>
      </c>
      <c r="CX29" s="4">
        <v>84</v>
      </c>
      <c r="CY29" s="4">
        <v>97</v>
      </c>
      <c r="CZ29" s="4">
        <v>20</v>
      </c>
      <c r="DA29" s="4">
        <v>40</v>
      </c>
      <c r="DB29" s="4">
        <v>48</v>
      </c>
      <c r="DC29" s="4">
        <v>1</v>
      </c>
      <c r="DD29" s="4">
        <v>6</v>
      </c>
      <c r="DE29" s="4">
        <v>9</v>
      </c>
      <c r="DF29" s="4">
        <v>13</v>
      </c>
      <c r="DG29" s="4">
        <v>60</v>
      </c>
      <c r="DH29" s="4">
        <v>0</v>
      </c>
      <c r="DI29" s="4">
        <v>26</v>
      </c>
      <c r="DJ29" s="4">
        <v>31</v>
      </c>
      <c r="DK29" s="4">
        <v>50</v>
      </c>
      <c r="DL29" s="4">
        <v>42</v>
      </c>
      <c r="DM29" s="4">
        <v>40</v>
      </c>
      <c r="DN29" s="4">
        <v>74</v>
      </c>
      <c r="DO29" s="4">
        <v>6</v>
      </c>
      <c r="DP29" s="4">
        <v>69</v>
      </c>
      <c r="DQ29" s="4">
        <v>17</v>
      </c>
      <c r="DR29" s="4">
        <v>43</v>
      </c>
      <c r="DS29" s="4">
        <v>75</v>
      </c>
      <c r="DT29" s="4">
        <v>68</v>
      </c>
      <c r="DU29" s="4">
        <v>45</v>
      </c>
      <c r="DV29" s="4">
        <v>12</v>
      </c>
      <c r="DW29" s="4">
        <v>43</v>
      </c>
      <c r="DX29" s="4">
        <v>2</v>
      </c>
      <c r="DY29" s="4">
        <v>48</v>
      </c>
      <c r="DZ29" s="4">
        <v>64</v>
      </c>
      <c r="EA29" s="4">
        <v>84</v>
      </c>
      <c r="EB29" s="4">
        <v>98</v>
      </c>
      <c r="EC29" s="4">
        <v>12</v>
      </c>
      <c r="ED29" s="4">
        <v>18</v>
      </c>
      <c r="EE29" s="4">
        <v>43</v>
      </c>
      <c r="EF29" s="4">
        <v>1</v>
      </c>
      <c r="EG29" s="4">
        <v>19</v>
      </c>
      <c r="EH29" s="4">
        <v>27</v>
      </c>
      <c r="EI29" s="4">
        <v>29</v>
      </c>
      <c r="EJ29" s="4">
        <v>66</v>
      </c>
      <c r="EK29" s="4">
        <v>2</v>
      </c>
      <c r="EL29" s="4">
        <v>28</v>
      </c>
      <c r="EM29" s="4">
        <v>27</v>
      </c>
      <c r="EN29" s="4">
        <v>43</v>
      </c>
      <c r="EO29" s="4">
        <v>43</v>
      </c>
      <c r="EP29" s="4">
        <v>21</v>
      </c>
      <c r="EQ29" s="4">
        <v>48</v>
      </c>
      <c r="ER29" s="4">
        <v>3</v>
      </c>
      <c r="ES29" s="4">
        <v>61</v>
      </c>
      <c r="ET29" s="4">
        <v>42</v>
      </c>
      <c r="EU29" s="4">
        <v>46</v>
      </c>
      <c r="EV29" s="4">
        <v>62</v>
      </c>
      <c r="EW29" s="4">
        <v>48</v>
      </c>
      <c r="EX29" s="4">
        <v>62</v>
      </c>
      <c r="EY29" s="4">
        <v>43</v>
      </c>
      <c r="EZ29" s="4">
        <v>53</v>
      </c>
      <c r="FA29" s="4">
        <v>1</v>
      </c>
      <c r="FB29" s="4">
        <v>30</v>
      </c>
      <c r="FC29" s="4">
        <v>53</v>
      </c>
      <c r="FD29" s="4">
        <v>94</v>
      </c>
      <c r="FE29" s="4">
        <v>92</v>
      </c>
      <c r="FF29" s="4">
        <v>12</v>
      </c>
      <c r="FG29" s="4">
        <v>19</v>
      </c>
      <c r="FH29" s="4">
        <v>38</v>
      </c>
      <c r="FI29" s="4">
        <v>0</v>
      </c>
      <c r="FJ29" s="4">
        <v>20</v>
      </c>
      <c r="FK29" s="4">
        <v>34</v>
      </c>
      <c r="FL29" s="4">
        <v>33</v>
      </c>
      <c r="FM29" s="4">
        <v>69</v>
      </c>
      <c r="FN29" s="4">
        <v>0</v>
      </c>
      <c r="FO29" s="4">
        <v>26</v>
      </c>
      <c r="FP29" s="4">
        <v>20</v>
      </c>
      <c r="FQ29" s="4">
        <v>40</v>
      </c>
      <c r="FR29" s="4">
        <v>37</v>
      </c>
      <c r="FS29" s="4">
        <v>21</v>
      </c>
      <c r="FT29" s="4">
        <v>45</v>
      </c>
      <c r="FU29" s="4">
        <v>2</v>
      </c>
      <c r="FV29" s="4">
        <v>62</v>
      </c>
      <c r="FW29" s="4">
        <v>48</v>
      </c>
      <c r="FX29" s="4">
        <v>43</v>
      </c>
      <c r="FY29" s="4">
        <v>60</v>
      </c>
      <c r="FZ29" s="4">
        <v>45</v>
      </c>
      <c r="GA29" s="4">
        <v>57</v>
      </c>
      <c r="GB29" s="4">
        <v>47</v>
      </c>
      <c r="GC29" s="4">
        <v>50</v>
      </c>
      <c r="GD29" s="4">
        <v>2</v>
      </c>
      <c r="GE29" s="4">
        <v>25</v>
      </c>
      <c r="GF29" s="4">
        <v>47</v>
      </c>
      <c r="GG29" s="4">
        <v>94</v>
      </c>
      <c r="GH29" s="4">
        <v>84</v>
      </c>
      <c r="GJ29" s="4">
        <v>16</v>
      </c>
      <c r="GK29" s="4">
        <v>2</v>
      </c>
      <c r="GL29" s="4">
        <v>25</v>
      </c>
    </row>
    <row r="30" spans="19:194" hidden="1" x14ac:dyDescent="0.25">
      <c r="S30" s="12"/>
      <c r="T30" s="12"/>
      <c r="U30" s="12"/>
      <c r="V30" s="12"/>
      <c r="W30" s="13"/>
      <c r="BV30" s="4">
        <v>15</v>
      </c>
      <c r="BW30" s="4">
        <v>27</v>
      </c>
      <c r="BX30" s="4">
        <v>40</v>
      </c>
      <c r="BY30" s="4">
        <v>53</v>
      </c>
      <c r="BZ30" s="4">
        <v>1</v>
      </c>
      <c r="CA30" s="4">
        <v>8</v>
      </c>
      <c r="CB30" s="4">
        <v>6</v>
      </c>
      <c r="CC30" s="4">
        <v>20</v>
      </c>
      <c r="CD30" s="4">
        <v>66</v>
      </c>
      <c r="CE30" s="4">
        <v>0</v>
      </c>
      <c r="CF30" s="4">
        <v>35</v>
      </c>
      <c r="CG30" s="4">
        <v>41</v>
      </c>
      <c r="CH30" s="4">
        <v>53</v>
      </c>
      <c r="CI30" s="4">
        <v>53</v>
      </c>
      <c r="CJ30" s="4">
        <v>43</v>
      </c>
      <c r="CK30" s="4">
        <v>73</v>
      </c>
      <c r="CL30" s="4">
        <v>5</v>
      </c>
      <c r="CM30" s="4">
        <v>71</v>
      </c>
      <c r="CN30" s="4">
        <v>20</v>
      </c>
      <c r="CO30" s="4">
        <v>50</v>
      </c>
      <c r="CP30" s="4">
        <v>79</v>
      </c>
      <c r="CQ30" s="4">
        <v>67</v>
      </c>
      <c r="CR30" s="4">
        <v>58</v>
      </c>
      <c r="CS30" s="4">
        <v>20</v>
      </c>
      <c r="CT30" s="4">
        <v>48</v>
      </c>
      <c r="CU30" s="4">
        <v>7</v>
      </c>
      <c r="CV30" s="4">
        <v>50</v>
      </c>
      <c r="CW30" s="4">
        <v>68</v>
      </c>
      <c r="CX30" s="4">
        <v>93</v>
      </c>
      <c r="CY30" s="4">
        <v>99</v>
      </c>
      <c r="CZ30" s="4">
        <v>22</v>
      </c>
      <c r="DA30" s="4">
        <v>41</v>
      </c>
      <c r="DB30" s="4">
        <v>49</v>
      </c>
      <c r="DC30" s="4">
        <v>1</v>
      </c>
      <c r="DD30" s="4">
        <v>8</v>
      </c>
      <c r="DE30" s="4">
        <v>12</v>
      </c>
      <c r="DF30" s="4">
        <v>13</v>
      </c>
      <c r="DG30" s="4">
        <v>66</v>
      </c>
      <c r="DH30" s="4">
        <v>1</v>
      </c>
      <c r="DI30" s="4">
        <v>29</v>
      </c>
      <c r="DJ30" s="4">
        <v>34</v>
      </c>
      <c r="DK30" s="4">
        <v>51</v>
      </c>
      <c r="DL30" s="4">
        <v>44</v>
      </c>
      <c r="DM30" s="4">
        <v>41</v>
      </c>
      <c r="DN30" s="4">
        <v>75</v>
      </c>
      <c r="DO30" s="4">
        <v>8</v>
      </c>
      <c r="DP30" s="4">
        <v>72</v>
      </c>
      <c r="DQ30" s="4">
        <v>20</v>
      </c>
      <c r="DR30" s="4">
        <v>46</v>
      </c>
      <c r="DS30" s="4">
        <v>80</v>
      </c>
      <c r="DT30" s="4">
        <v>69</v>
      </c>
      <c r="DU30" s="4">
        <v>47</v>
      </c>
      <c r="DV30" s="4">
        <v>20</v>
      </c>
      <c r="DW30" s="4">
        <v>46</v>
      </c>
      <c r="DX30" s="4">
        <v>6</v>
      </c>
      <c r="DY30" s="4">
        <v>50</v>
      </c>
      <c r="DZ30" s="4">
        <v>65</v>
      </c>
      <c r="EA30" s="4">
        <v>92</v>
      </c>
      <c r="EB30" s="4">
        <v>99</v>
      </c>
      <c r="EC30" s="4">
        <v>17</v>
      </c>
      <c r="ED30" s="4">
        <v>20</v>
      </c>
      <c r="EE30" s="4">
        <v>44</v>
      </c>
      <c r="EF30" s="4">
        <v>1</v>
      </c>
      <c r="EG30" s="4">
        <v>20</v>
      </c>
      <c r="EH30" s="4">
        <v>28</v>
      </c>
      <c r="EI30" s="4">
        <v>33</v>
      </c>
      <c r="EJ30" s="4">
        <v>68</v>
      </c>
      <c r="EK30" s="4">
        <v>2</v>
      </c>
      <c r="EL30" s="4">
        <v>31</v>
      </c>
      <c r="EM30" s="4">
        <v>29</v>
      </c>
      <c r="EN30" s="4">
        <v>45</v>
      </c>
      <c r="EO30" s="4">
        <v>45</v>
      </c>
      <c r="EP30" s="4">
        <v>24</v>
      </c>
      <c r="EQ30" s="4">
        <v>49</v>
      </c>
      <c r="ER30" s="4">
        <v>4</v>
      </c>
      <c r="ES30" s="4">
        <v>64</v>
      </c>
      <c r="ET30" s="4">
        <v>45</v>
      </c>
      <c r="EU30" s="4">
        <v>48</v>
      </c>
      <c r="EV30" s="4">
        <v>66</v>
      </c>
      <c r="EW30" s="4">
        <v>49</v>
      </c>
      <c r="EX30" s="4">
        <v>64</v>
      </c>
      <c r="EY30" s="4">
        <v>46</v>
      </c>
      <c r="EZ30" s="4">
        <v>57</v>
      </c>
      <c r="FA30" s="4">
        <v>1</v>
      </c>
      <c r="FB30" s="4">
        <v>35</v>
      </c>
      <c r="FC30" s="4">
        <v>55</v>
      </c>
      <c r="FD30" s="4">
        <v>98</v>
      </c>
      <c r="FE30" s="4">
        <v>98</v>
      </c>
      <c r="FF30" s="4">
        <v>16</v>
      </c>
      <c r="FG30" s="4">
        <v>20</v>
      </c>
      <c r="FH30" s="4">
        <v>40</v>
      </c>
      <c r="FI30" s="4">
        <v>0</v>
      </c>
      <c r="FJ30" s="4">
        <v>21</v>
      </c>
      <c r="FK30" s="4">
        <v>40</v>
      </c>
      <c r="FL30" s="4">
        <v>35</v>
      </c>
      <c r="FM30" s="4">
        <v>74</v>
      </c>
      <c r="FN30" s="4">
        <v>0</v>
      </c>
      <c r="FO30" s="4">
        <v>27</v>
      </c>
      <c r="FP30" s="4">
        <v>21</v>
      </c>
      <c r="FQ30" s="4">
        <v>41</v>
      </c>
      <c r="FR30" s="4">
        <v>40</v>
      </c>
      <c r="FS30" s="4">
        <v>23</v>
      </c>
      <c r="FT30" s="4">
        <v>46</v>
      </c>
      <c r="FU30" s="4">
        <v>2</v>
      </c>
      <c r="FV30" s="4">
        <v>64</v>
      </c>
      <c r="FW30" s="4">
        <v>50</v>
      </c>
      <c r="FX30" s="4">
        <v>45</v>
      </c>
      <c r="FY30" s="4">
        <v>65</v>
      </c>
      <c r="FZ30" s="4">
        <v>46</v>
      </c>
      <c r="GA30" s="4">
        <v>58</v>
      </c>
      <c r="GB30" s="4">
        <v>50</v>
      </c>
      <c r="GC30" s="4">
        <v>53</v>
      </c>
      <c r="GD30" s="4">
        <v>2</v>
      </c>
      <c r="GE30" s="4">
        <v>27</v>
      </c>
      <c r="GF30" s="4">
        <v>48</v>
      </c>
      <c r="GG30" s="4">
        <v>96</v>
      </c>
      <c r="GH30" s="4">
        <v>96</v>
      </c>
      <c r="GJ30" s="4">
        <v>17</v>
      </c>
      <c r="GK30" s="4">
        <v>2</v>
      </c>
      <c r="GL30" s="4">
        <v>25</v>
      </c>
    </row>
    <row r="31" spans="19:194" hidden="1" x14ac:dyDescent="0.25">
      <c r="S31" s="12"/>
      <c r="T31" s="12"/>
      <c r="U31" s="12"/>
      <c r="V31" s="12"/>
      <c r="W31" s="13"/>
      <c r="BV31" s="4">
        <v>16</v>
      </c>
      <c r="BW31" s="4">
        <v>32</v>
      </c>
      <c r="BX31" s="4">
        <v>42</v>
      </c>
      <c r="BY31" s="4">
        <v>55</v>
      </c>
      <c r="BZ31" s="4">
        <v>1</v>
      </c>
      <c r="CA31" s="4">
        <v>9</v>
      </c>
      <c r="CB31" s="4">
        <v>7</v>
      </c>
      <c r="CC31" s="4">
        <v>22</v>
      </c>
      <c r="CD31" s="4">
        <v>69</v>
      </c>
      <c r="CE31" s="4">
        <v>1</v>
      </c>
      <c r="CF31" s="4">
        <v>38</v>
      </c>
      <c r="CG31" s="4">
        <v>42</v>
      </c>
      <c r="CH31" s="4">
        <v>58</v>
      </c>
      <c r="CI31" s="4">
        <v>58</v>
      </c>
      <c r="CJ31" s="4">
        <v>44</v>
      </c>
      <c r="CK31" s="4">
        <v>75</v>
      </c>
      <c r="CL31" s="4">
        <v>9</v>
      </c>
      <c r="CM31" s="4">
        <v>73</v>
      </c>
      <c r="CN31" s="4">
        <v>23</v>
      </c>
      <c r="CO31" s="4">
        <v>53</v>
      </c>
      <c r="CP31" s="4">
        <v>82</v>
      </c>
      <c r="CQ31" s="4">
        <v>69</v>
      </c>
      <c r="CR31" s="4">
        <v>61</v>
      </c>
      <c r="CS31" s="4">
        <v>25</v>
      </c>
      <c r="CT31" s="4">
        <v>50</v>
      </c>
      <c r="CU31" s="4">
        <v>8</v>
      </c>
      <c r="CV31" s="4">
        <v>54</v>
      </c>
      <c r="CW31" s="4">
        <v>69</v>
      </c>
      <c r="CX31" s="4">
        <v>98</v>
      </c>
      <c r="CY31" s="4">
        <v>100</v>
      </c>
      <c r="CZ31" s="4">
        <v>28</v>
      </c>
      <c r="DA31" s="4">
        <v>42</v>
      </c>
      <c r="DB31" s="4">
        <v>50</v>
      </c>
      <c r="DC31" s="4">
        <v>1</v>
      </c>
      <c r="DD31" s="4">
        <v>8</v>
      </c>
      <c r="DE31" s="4">
        <v>14</v>
      </c>
      <c r="DF31" s="4">
        <v>13</v>
      </c>
      <c r="DG31" s="4">
        <v>68</v>
      </c>
      <c r="DH31" s="4">
        <v>1</v>
      </c>
      <c r="DI31" s="4">
        <v>33</v>
      </c>
      <c r="DJ31" s="4">
        <v>36</v>
      </c>
      <c r="DK31" s="4">
        <v>57</v>
      </c>
      <c r="DL31" s="4">
        <v>48</v>
      </c>
      <c r="DM31" s="4">
        <v>43</v>
      </c>
      <c r="DN31" s="4">
        <v>78</v>
      </c>
      <c r="DO31" s="4">
        <v>12</v>
      </c>
      <c r="DP31" s="4">
        <v>72</v>
      </c>
      <c r="DQ31" s="4">
        <v>23</v>
      </c>
      <c r="DR31" s="4">
        <v>50</v>
      </c>
      <c r="DS31" s="4">
        <v>85</v>
      </c>
      <c r="DT31" s="4">
        <v>70</v>
      </c>
      <c r="DU31" s="4">
        <v>49</v>
      </c>
      <c r="DV31" s="4">
        <v>23</v>
      </c>
      <c r="DW31" s="4">
        <v>47</v>
      </c>
      <c r="DX31" s="4">
        <v>6</v>
      </c>
      <c r="DY31" s="4">
        <v>52</v>
      </c>
      <c r="DZ31" s="4">
        <v>67</v>
      </c>
      <c r="EA31" s="4">
        <v>98</v>
      </c>
      <c r="EB31" s="4">
        <v>100</v>
      </c>
      <c r="EC31" s="4">
        <v>20</v>
      </c>
      <c r="ED31" s="4">
        <v>24</v>
      </c>
      <c r="EE31" s="4">
        <v>45</v>
      </c>
      <c r="EF31" s="4">
        <v>1</v>
      </c>
      <c r="EG31" s="4">
        <v>21</v>
      </c>
      <c r="EH31" s="4">
        <v>31</v>
      </c>
      <c r="EI31" s="4">
        <v>36</v>
      </c>
      <c r="EJ31" s="4">
        <v>70</v>
      </c>
      <c r="EK31" s="4">
        <v>2</v>
      </c>
      <c r="EL31" s="4">
        <v>35</v>
      </c>
      <c r="EM31" s="4">
        <v>30</v>
      </c>
      <c r="EN31" s="4">
        <v>48</v>
      </c>
      <c r="EO31" s="4">
        <v>48</v>
      </c>
      <c r="EP31" s="4">
        <v>27</v>
      </c>
      <c r="EQ31" s="4">
        <v>50</v>
      </c>
      <c r="ER31" s="4">
        <v>4</v>
      </c>
      <c r="ES31" s="4">
        <v>66</v>
      </c>
      <c r="ET31" s="4">
        <v>47</v>
      </c>
      <c r="EU31" s="4">
        <v>50</v>
      </c>
      <c r="EV31" s="4">
        <v>68</v>
      </c>
      <c r="EW31" s="4">
        <v>50</v>
      </c>
      <c r="EX31" s="4">
        <v>66</v>
      </c>
      <c r="EY31" s="4">
        <v>48</v>
      </c>
      <c r="EZ31" s="4">
        <v>60</v>
      </c>
      <c r="FA31" s="4">
        <v>1</v>
      </c>
      <c r="FB31" s="4">
        <v>38</v>
      </c>
      <c r="FC31" s="4">
        <v>56</v>
      </c>
      <c r="FD31" s="4">
        <v>99</v>
      </c>
      <c r="FE31" s="4">
        <v>100</v>
      </c>
      <c r="FF31" s="4">
        <v>20</v>
      </c>
      <c r="FG31" s="4">
        <v>21</v>
      </c>
      <c r="FH31" s="4">
        <v>42</v>
      </c>
      <c r="FI31" s="4">
        <v>1</v>
      </c>
      <c r="FJ31" s="4">
        <v>23</v>
      </c>
      <c r="FK31" s="4">
        <v>42</v>
      </c>
      <c r="FL31" s="4">
        <v>40</v>
      </c>
      <c r="FM31" s="4">
        <v>75</v>
      </c>
      <c r="FN31" s="4">
        <v>2</v>
      </c>
      <c r="FO31" s="4">
        <v>28</v>
      </c>
      <c r="FP31" s="4">
        <v>22</v>
      </c>
      <c r="FQ31" s="4">
        <v>42</v>
      </c>
      <c r="FR31" s="4">
        <v>42</v>
      </c>
      <c r="FS31" s="4">
        <v>24</v>
      </c>
      <c r="FT31" s="4">
        <v>47</v>
      </c>
      <c r="FU31" s="4">
        <v>2</v>
      </c>
      <c r="FV31" s="4">
        <v>66</v>
      </c>
      <c r="FW31" s="4">
        <v>53</v>
      </c>
      <c r="FX31" s="4">
        <v>47</v>
      </c>
      <c r="FY31" s="4">
        <v>69</v>
      </c>
      <c r="FZ31" s="4">
        <v>47</v>
      </c>
      <c r="GA31" s="4">
        <v>60</v>
      </c>
      <c r="GB31" s="4">
        <v>55</v>
      </c>
      <c r="GC31" s="4">
        <v>57</v>
      </c>
      <c r="GD31" s="4">
        <v>2</v>
      </c>
      <c r="GE31" s="4">
        <v>29</v>
      </c>
      <c r="GF31" s="4">
        <v>50</v>
      </c>
      <c r="GG31" s="4">
        <v>98</v>
      </c>
      <c r="GH31" s="4">
        <v>100</v>
      </c>
      <c r="GJ31" s="4">
        <v>18</v>
      </c>
      <c r="GK31" s="4">
        <v>2</v>
      </c>
      <c r="GL31" s="4">
        <v>25</v>
      </c>
    </row>
    <row r="32" spans="19:194" hidden="1" x14ac:dyDescent="0.25">
      <c r="S32" s="12"/>
      <c r="T32" s="12"/>
      <c r="U32" s="12"/>
      <c r="V32" s="12"/>
      <c r="W32" s="13"/>
      <c r="BV32" s="4">
        <v>17</v>
      </c>
      <c r="BW32" s="4">
        <v>36</v>
      </c>
      <c r="BX32" s="4">
        <v>43</v>
      </c>
      <c r="BY32" s="4">
        <v>58</v>
      </c>
      <c r="BZ32" s="4">
        <v>2</v>
      </c>
      <c r="CA32" s="4">
        <v>10</v>
      </c>
      <c r="CB32" s="4">
        <v>9</v>
      </c>
      <c r="CC32" s="4">
        <v>25</v>
      </c>
      <c r="CD32" s="4">
        <v>71</v>
      </c>
      <c r="CE32" s="4">
        <v>1</v>
      </c>
      <c r="CF32" s="4">
        <v>40</v>
      </c>
      <c r="CG32" s="4">
        <v>43</v>
      </c>
      <c r="CH32" s="4">
        <v>60</v>
      </c>
      <c r="CI32" s="4">
        <v>61</v>
      </c>
      <c r="CJ32" s="4">
        <v>45</v>
      </c>
      <c r="CK32" s="4">
        <v>77</v>
      </c>
      <c r="CL32" s="4">
        <v>12</v>
      </c>
      <c r="CM32" s="4">
        <v>75</v>
      </c>
      <c r="CN32" s="4">
        <v>26</v>
      </c>
      <c r="CO32" s="4">
        <v>57</v>
      </c>
      <c r="CP32" s="4">
        <v>85</v>
      </c>
      <c r="CQ32" s="4">
        <v>70</v>
      </c>
      <c r="CR32" s="4">
        <v>65</v>
      </c>
      <c r="CS32" s="4">
        <v>29</v>
      </c>
      <c r="CT32" s="4">
        <v>53</v>
      </c>
      <c r="CU32" s="4">
        <v>9</v>
      </c>
      <c r="CV32" s="4">
        <v>57</v>
      </c>
      <c r="CW32" s="4">
        <v>70</v>
      </c>
      <c r="CX32" s="4">
        <v>100</v>
      </c>
      <c r="CY32" s="4">
        <v>100</v>
      </c>
      <c r="CZ32" s="4">
        <v>33</v>
      </c>
      <c r="DA32" s="4">
        <v>43</v>
      </c>
      <c r="DB32" s="4">
        <v>52</v>
      </c>
      <c r="DC32" s="4">
        <v>1</v>
      </c>
      <c r="DD32" s="4">
        <v>9</v>
      </c>
      <c r="DE32" s="4">
        <v>17</v>
      </c>
      <c r="DF32" s="4">
        <v>20</v>
      </c>
      <c r="DG32" s="4">
        <v>72</v>
      </c>
      <c r="DH32" s="4">
        <v>1</v>
      </c>
      <c r="DI32" s="4">
        <v>35</v>
      </c>
      <c r="DJ32" s="4">
        <v>40</v>
      </c>
      <c r="DK32" s="4">
        <v>58</v>
      </c>
      <c r="DL32" s="4">
        <v>50</v>
      </c>
      <c r="DM32" s="4">
        <v>45</v>
      </c>
      <c r="DN32" s="4">
        <v>81</v>
      </c>
      <c r="DO32" s="4">
        <v>15</v>
      </c>
      <c r="DP32" s="4">
        <v>73</v>
      </c>
      <c r="DQ32" s="4">
        <v>25</v>
      </c>
      <c r="DR32" s="4">
        <v>55</v>
      </c>
      <c r="DS32" s="4">
        <v>100</v>
      </c>
      <c r="DT32" s="4">
        <v>71</v>
      </c>
      <c r="DU32" s="4">
        <v>50</v>
      </c>
      <c r="DV32" s="4">
        <v>26</v>
      </c>
      <c r="DW32" s="4">
        <v>50</v>
      </c>
      <c r="DX32" s="4">
        <v>6</v>
      </c>
      <c r="DY32" s="4">
        <v>53</v>
      </c>
      <c r="DZ32" s="4">
        <v>69</v>
      </c>
      <c r="EA32" s="4">
        <v>100</v>
      </c>
      <c r="EB32" s="4">
        <v>100</v>
      </c>
      <c r="EC32" s="4">
        <v>22</v>
      </c>
      <c r="ED32" s="4">
        <v>25</v>
      </c>
      <c r="EE32" s="4">
        <v>47</v>
      </c>
      <c r="EF32" s="4">
        <v>1</v>
      </c>
      <c r="EG32" s="4">
        <v>23</v>
      </c>
      <c r="EH32" s="4">
        <v>33</v>
      </c>
      <c r="EI32" s="4">
        <v>40</v>
      </c>
      <c r="EJ32" s="4">
        <v>72</v>
      </c>
      <c r="EK32" s="4">
        <v>3</v>
      </c>
      <c r="EL32" s="4">
        <v>40</v>
      </c>
      <c r="EM32" s="4">
        <v>32</v>
      </c>
      <c r="EN32" s="4">
        <v>50</v>
      </c>
      <c r="EO32" s="4">
        <v>50</v>
      </c>
      <c r="EP32" s="4">
        <v>32</v>
      </c>
      <c r="EQ32" s="4">
        <v>51</v>
      </c>
      <c r="ER32" s="4">
        <v>5</v>
      </c>
      <c r="ES32" s="4">
        <v>68</v>
      </c>
      <c r="ET32" s="4">
        <v>50</v>
      </c>
      <c r="EU32" s="4">
        <v>55</v>
      </c>
      <c r="EV32" s="4">
        <v>70</v>
      </c>
      <c r="EW32" s="4">
        <v>51</v>
      </c>
      <c r="EX32" s="4">
        <v>68</v>
      </c>
      <c r="EY32" s="4">
        <v>50</v>
      </c>
      <c r="EZ32" s="4">
        <v>64</v>
      </c>
      <c r="FA32" s="4">
        <v>2</v>
      </c>
      <c r="FB32" s="4">
        <v>40</v>
      </c>
      <c r="FC32" s="4">
        <v>57</v>
      </c>
      <c r="FD32" s="4">
        <v>100</v>
      </c>
      <c r="FE32" s="4">
        <v>100</v>
      </c>
      <c r="FF32" s="4">
        <v>21</v>
      </c>
      <c r="FG32" s="4">
        <v>25</v>
      </c>
      <c r="FH32" s="4">
        <v>43</v>
      </c>
      <c r="FI32" s="4">
        <v>1</v>
      </c>
      <c r="FJ32" s="4">
        <v>25</v>
      </c>
      <c r="FK32" s="4">
        <v>44</v>
      </c>
      <c r="FL32" s="4">
        <v>41</v>
      </c>
      <c r="FM32" s="4">
        <v>80</v>
      </c>
      <c r="FN32" s="4">
        <v>2</v>
      </c>
      <c r="FO32" s="4">
        <v>30</v>
      </c>
      <c r="FP32" s="4">
        <v>25</v>
      </c>
      <c r="FQ32" s="4">
        <v>43</v>
      </c>
      <c r="FR32" s="4">
        <v>45</v>
      </c>
      <c r="FS32" s="4">
        <v>25</v>
      </c>
      <c r="FT32" s="4">
        <v>48</v>
      </c>
      <c r="FU32" s="4">
        <v>2</v>
      </c>
      <c r="FV32" s="4">
        <v>68</v>
      </c>
      <c r="FW32" s="4">
        <v>56</v>
      </c>
      <c r="FX32" s="4">
        <v>48</v>
      </c>
      <c r="FY32" s="4">
        <v>71</v>
      </c>
      <c r="FZ32" s="4">
        <v>48</v>
      </c>
      <c r="GA32" s="4">
        <v>62</v>
      </c>
      <c r="GB32" s="4">
        <v>58</v>
      </c>
      <c r="GC32" s="4">
        <v>60</v>
      </c>
      <c r="GD32" s="4">
        <v>2</v>
      </c>
      <c r="GE32" s="4">
        <v>31</v>
      </c>
      <c r="GF32" s="4">
        <v>51</v>
      </c>
      <c r="GG32" s="4">
        <v>100</v>
      </c>
      <c r="GH32" s="4">
        <v>100</v>
      </c>
      <c r="GJ32" s="4">
        <v>19</v>
      </c>
      <c r="GK32" s="4">
        <v>2</v>
      </c>
      <c r="GL32" s="4">
        <v>25</v>
      </c>
    </row>
    <row r="33" spans="1:203" hidden="1" x14ac:dyDescent="0.25">
      <c r="S33" s="12"/>
      <c r="T33" s="12"/>
      <c r="U33" s="12"/>
      <c r="V33" s="12"/>
      <c r="W33" s="13"/>
      <c r="BV33" s="4">
        <v>18</v>
      </c>
      <c r="BW33" s="4">
        <v>40</v>
      </c>
      <c r="BX33" s="4">
        <v>44</v>
      </c>
      <c r="BY33" s="4">
        <v>61</v>
      </c>
      <c r="BZ33" s="4">
        <v>2</v>
      </c>
      <c r="CA33" s="4">
        <v>11</v>
      </c>
      <c r="CB33" s="4">
        <v>15</v>
      </c>
      <c r="CC33" s="4">
        <v>26</v>
      </c>
      <c r="CD33" s="4">
        <v>75</v>
      </c>
      <c r="CE33" s="4">
        <v>1</v>
      </c>
      <c r="CF33" s="4">
        <v>41</v>
      </c>
      <c r="CG33" s="4">
        <v>44</v>
      </c>
      <c r="CH33" s="4">
        <v>65</v>
      </c>
      <c r="CI33" s="4">
        <v>64</v>
      </c>
      <c r="CJ33" s="4">
        <v>46</v>
      </c>
      <c r="CK33" s="4">
        <v>79</v>
      </c>
      <c r="CL33" s="4">
        <v>14</v>
      </c>
      <c r="CM33" s="4">
        <v>77</v>
      </c>
      <c r="CN33" s="4">
        <v>29</v>
      </c>
      <c r="CO33" s="4">
        <v>62</v>
      </c>
      <c r="CP33" s="4">
        <v>97</v>
      </c>
      <c r="CQ33" s="4">
        <v>71</v>
      </c>
      <c r="CR33" s="4">
        <v>67</v>
      </c>
      <c r="CS33" s="4">
        <v>34</v>
      </c>
      <c r="CT33" s="4">
        <v>58</v>
      </c>
      <c r="CU33" s="4">
        <v>11</v>
      </c>
      <c r="CV33" s="4">
        <v>59</v>
      </c>
      <c r="CW33" s="4">
        <v>71</v>
      </c>
      <c r="CX33" s="4">
        <v>100</v>
      </c>
      <c r="CY33" s="4">
        <v>100</v>
      </c>
      <c r="CZ33" s="4">
        <v>36</v>
      </c>
      <c r="DA33" s="4">
        <v>44</v>
      </c>
      <c r="DB33" s="4">
        <v>54</v>
      </c>
      <c r="DC33" s="4">
        <v>1</v>
      </c>
      <c r="DD33" s="4">
        <v>9</v>
      </c>
      <c r="DE33" s="4">
        <v>17</v>
      </c>
      <c r="DF33" s="4">
        <v>20</v>
      </c>
      <c r="DG33" s="4">
        <v>75</v>
      </c>
      <c r="DH33" s="4">
        <v>1</v>
      </c>
      <c r="DI33" s="4">
        <v>40</v>
      </c>
      <c r="DJ33" s="4">
        <v>41</v>
      </c>
      <c r="DK33" s="4">
        <v>60</v>
      </c>
      <c r="DL33" s="4">
        <v>54</v>
      </c>
      <c r="DM33" s="4">
        <v>46</v>
      </c>
      <c r="DN33" s="4">
        <v>81</v>
      </c>
      <c r="DO33" s="4">
        <v>20</v>
      </c>
      <c r="DP33" s="4">
        <v>75</v>
      </c>
      <c r="DQ33" s="4">
        <v>30</v>
      </c>
      <c r="DR33" s="4">
        <v>59</v>
      </c>
      <c r="DS33" s="4">
        <v>103</v>
      </c>
      <c r="DT33" s="4">
        <v>72</v>
      </c>
      <c r="DU33" s="4">
        <v>52</v>
      </c>
      <c r="DV33" s="4">
        <v>30</v>
      </c>
      <c r="DW33" s="4">
        <v>54</v>
      </c>
      <c r="DX33" s="4">
        <v>12</v>
      </c>
      <c r="DY33" s="4">
        <v>53</v>
      </c>
      <c r="DZ33" s="4">
        <v>70</v>
      </c>
      <c r="EA33" s="4">
        <v>100</v>
      </c>
      <c r="EB33" s="4">
        <v>100</v>
      </c>
      <c r="EC33" s="4">
        <v>26</v>
      </c>
      <c r="ED33" s="4">
        <v>28</v>
      </c>
      <c r="EE33" s="4">
        <v>48</v>
      </c>
      <c r="EF33" s="4">
        <v>1</v>
      </c>
      <c r="EG33" s="4">
        <v>26</v>
      </c>
      <c r="EH33" s="4">
        <v>36</v>
      </c>
      <c r="EI33" s="4">
        <v>42</v>
      </c>
      <c r="EJ33" s="4">
        <v>75</v>
      </c>
      <c r="EK33" s="4">
        <v>4</v>
      </c>
      <c r="EL33" s="4">
        <v>41</v>
      </c>
      <c r="EM33" s="4">
        <v>35</v>
      </c>
      <c r="EN33" s="4">
        <v>53</v>
      </c>
      <c r="EO33" s="4">
        <v>52</v>
      </c>
      <c r="EP33" s="4">
        <v>34</v>
      </c>
      <c r="EQ33" s="4">
        <v>53</v>
      </c>
      <c r="ER33" s="4">
        <v>6</v>
      </c>
      <c r="ES33" s="4">
        <v>69</v>
      </c>
      <c r="ET33" s="4">
        <v>53</v>
      </c>
      <c r="EU33" s="4">
        <v>58</v>
      </c>
      <c r="EV33" s="4">
        <v>73</v>
      </c>
      <c r="EW33" s="4">
        <v>52</v>
      </c>
      <c r="EX33" s="4">
        <v>69</v>
      </c>
      <c r="EY33" s="4">
        <v>55</v>
      </c>
      <c r="EZ33" s="4">
        <v>66</v>
      </c>
      <c r="FA33" s="4">
        <v>2</v>
      </c>
      <c r="FB33" s="4">
        <v>41</v>
      </c>
      <c r="FC33" s="4">
        <v>59</v>
      </c>
      <c r="FD33" s="4">
        <v>100</v>
      </c>
      <c r="FE33" s="4">
        <v>100</v>
      </c>
      <c r="FF33" s="4">
        <v>23</v>
      </c>
      <c r="FG33" s="4">
        <v>26</v>
      </c>
      <c r="FH33" s="4">
        <v>44</v>
      </c>
      <c r="FI33" s="4">
        <v>1</v>
      </c>
      <c r="FJ33" s="4">
        <v>29</v>
      </c>
      <c r="FK33" s="4">
        <v>45</v>
      </c>
      <c r="FL33" s="4">
        <v>42</v>
      </c>
      <c r="FM33" s="4">
        <v>82</v>
      </c>
      <c r="FN33" s="4">
        <v>2</v>
      </c>
      <c r="FO33" s="4">
        <v>33</v>
      </c>
      <c r="FP33" s="4">
        <v>26</v>
      </c>
      <c r="FQ33" s="4">
        <v>45</v>
      </c>
      <c r="FR33" s="4">
        <v>47</v>
      </c>
      <c r="FS33" s="4">
        <v>26</v>
      </c>
      <c r="FT33" s="4">
        <v>50</v>
      </c>
      <c r="FU33" s="4">
        <v>5</v>
      </c>
      <c r="FV33" s="4">
        <v>70</v>
      </c>
      <c r="FW33" s="4">
        <v>59</v>
      </c>
      <c r="FX33" s="4">
        <v>50</v>
      </c>
      <c r="FY33" s="4">
        <v>72</v>
      </c>
      <c r="FZ33" s="4">
        <v>49</v>
      </c>
      <c r="GA33" s="4">
        <v>63</v>
      </c>
      <c r="GB33" s="4">
        <v>62</v>
      </c>
      <c r="GC33" s="4">
        <v>63</v>
      </c>
      <c r="GD33" s="4">
        <v>2</v>
      </c>
      <c r="GE33" s="4">
        <v>34</v>
      </c>
      <c r="GF33" s="4">
        <v>52</v>
      </c>
      <c r="GG33" s="4">
        <v>100</v>
      </c>
      <c r="GH33" s="4">
        <v>100</v>
      </c>
      <c r="GJ33" s="4">
        <v>20</v>
      </c>
      <c r="GK33" s="4">
        <v>2</v>
      </c>
      <c r="GL33" s="4">
        <v>25</v>
      </c>
    </row>
    <row r="34" spans="1:203" hidden="1" x14ac:dyDescent="0.25">
      <c r="S34" s="12"/>
      <c r="T34" s="12"/>
      <c r="U34" s="12"/>
      <c r="V34" s="12"/>
      <c r="W34" s="13"/>
      <c r="BV34" s="4">
        <v>19</v>
      </c>
      <c r="BW34" s="4">
        <v>41</v>
      </c>
      <c r="BX34" s="4">
        <v>46</v>
      </c>
      <c r="BY34" s="4">
        <v>63</v>
      </c>
      <c r="BZ34" s="4">
        <v>2</v>
      </c>
      <c r="CA34" s="4">
        <v>12</v>
      </c>
      <c r="CB34" s="4">
        <v>16</v>
      </c>
      <c r="CC34" s="4">
        <v>29</v>
      </c>
      <c r="CD34" s="4">
        <v>79</v>
      </c>
      <c r="CE34" s="4">
        <v>2</v>
      </c>
      <c r="CF34" s="4">
        <v>43</v>
      </c>
      <c r="CG34" s="4">
        <v>46</v>
      </c>
      <c r="CH34" s="4">
        <v>67</v>
      </c>
      <c r="CI34" s="4">
        <v>68</v>
      </c>
      <c r="CJ34" s="4">
        <v>48</v>
      </c>
      <c r="CK34" s="4">
        <v>82</v>
      </c>
      <c r="CL34" s="4">
        <v>17</v>
      </c>
      <c r="CM34" s="4">
        <v>80</v>
      </c>
      <c r="CN34" s="4">
        <v>32</v>
      </c>
      <c r="CO34" s="4">
        <v>66</v>
      </c>
      <c r="CP34" s="4">
        <v>98</v>
      </c>
      <c r="CQ34" s="4">
        <v>72</v>
      </c>
      <c r="CR34" s="4">
        <v>70</v>
      </c>
      <c r="CS34" s="4">
        <v>40</v>
      </c>
      <c r="CT34" s="4">
        <v>61</v>
      </c>
      <c r="CU34" s="4">
        <v>12</v>
      </c>
      <c r="CV34" s="4">
        <v>61</v>
      </c>
      <c r="CW34" s="4">
        <v>72</v>
      </c>
      <c r="CX34" s="4">
        <v>100</v>
      </c>
      <c r="CY34" s="4">
        <v>100</v>
      </c>
      <c r="CZ34" s="4">
        <v>40</v>
      </c>
      <c r="DA34" s="4">
        <v>45</v>
      </c>
      <c r="DB34" s="4">
        <v>57</v>
      </c>
      <c r="DC34" s="4">
        <v>1</v>
      </c>
      <c r="DD34" s="4">
        <v>1</v>
      </c>
      <c r="DE34" s="4">
        <v>20</v>
      </c>
      <c r="DF34" s="4">
        <v>21</v>
      </c>
      <c r="DG34" s="4">
        <v>79</v>
      </c>
      <c r="DH34" s="4">
        <v>3</v>
      </c>
      <c r="DI34" s="4">
        <v>42</v>
      </c>
      <c r="DJ34" s="4">
        <v>42</v>
      </c>
      <c r="DK34" s="4">
        <v>62</v>
      </c>
      <c r="DL34" s="4">
        <v>57</v>
      </c>
      <c r="DM34" s="4">
        <v>48</v>
      </c>
      <c r="DN34" s="4">
        <v>83</v>
      </c>
      <c r="DO34" s="4">
        <v>23</v>
      </c>
      <c r="DP34" s="4">
        <v>77</v>
      </c>
      <c r="DQ34" s="4">
        <v>32</v>
      </c>
      <c r="DR34" s="4">
        <v>63</v>
      </c>
      <c r="DS34" s="4">
        <v>107</v>
      </c>
      <c r="DT34" s="4">
        <v>73</v>
      </c>
      <c r="DU34" s="4">
        <v>55</v>
      </c>
      <c r="DV34" s="4">
        <v>36</v>
      </c>
      <c r="DW34" s="4">
        <v>58</v>
      </c>
      <c r="DX34" s="4">
        <v>12</v>
      </c>
      <c r="DY34" s="4">
        <v>56</v>
      </c>
      <c r="DZ34" s="4">
        <v>71</v>
      </c>
      <c r="EA34" s="4">
        <v>100</v>
      </c>
      <c r="EB34" s="4">
        <v>100</v>
      </c>
      <c r="EC34" s="4">
        <v>29</v>
      </c>
      <c r="ED34" s="4">
        <v>31</v>
      </c>
      <c r="EE34" s="4">
        <v>49</v>
      </c>
      <c r="EF34" s="4">
        <v>1</v>
      </c>
      <c r="EG34" s="4">
        <v>28</v>
      </c>
      <c r="EH34" s="4">
        <v>38</v>
      </c>
      <c r="EI34" s="4">
        <v>44</v>
      </c>
      <c r="EJ34" s="4">
        <v>77</v>
      </c>
      <c r="EK34" s="4">
        <v>4</v>
      </c>
      <c r="EL34" s="4">
        <v>42</v>
      </c>
      <c r="EM34" s="4">
        <v>38</v>
      </c>
      <c r="EN34" s="4">
        <v>54</v>
      </c>
      <c r="EO34" s="4">
        <v>54</v>
      </c>
      <c r="EP34" s="4">
        <v>36</v>
      </c>
      <c r="EQ34" s="4">
        <v>55</v>
      </c>
      <c r="ER34" s="4">
        <v>7</v>
      </c>
      <c r="ES34" s="4">
        <v>71</v>
      </c>
      <c r="ET34" s="4">
        <v>56</v>
      </c>
      <c r="EU34" s="4">
        <v>60</v>
      </c>
      <c r="EV34" s="4">
        <v>75</v>
      </c>
      <c r="EW34" s="4">
        <v>54</v>
      </c>
      <c r="EX34" s="4">
        <v>71</v>
      </c>
      <c r="EY34" s="4">
        <v>59</v>
      </c>
      <c r="EZ34" s="4">
        <v>67</v>
      </c>
      <c r="FA34" s="4">
        <v>3</v>
      </c>
      <c r="FB34" s="4">
        <v>42</v>
      </c>
      <c r="FC34" s="4">
        <v>60</v>
      </c>
      <c r="FD34" s="4">
        <v>100</v>
      </c>
      <c r="FE34" s="4">
        <v>100</v>
      </c>
      <c r="FF34" s="4">
        <v>25</v>
      </c>
      <c r="FG34" s="4">
        <v>29</v>
      </c>
      <c r="FH34" s="4">
        <v>45</v>
      </c>
      <c r="FI34" s="4">
        <v>1</v>
      </c>
      <c r="FJ34" s="4">
        <v>31</v>
      </c>
      <c r="FK34" s="4">
        <v>46</v>
      </c>
      <c r="FL34" s="4">
        <v>44</v>
      </c>
      <c r="FM34" s="4">
        <v>85</v>
      </c>
      <c r="FN34" s="4">
        <v>3</v>
      </c>
      <c r="FO34" s="4">
        <v>35</v>
      </c>
      <c r="FP34" s="4">
        <v>28</v>
      </c>
      <c r="FQ34" s="4">
        <v>46</v>
      </c>
      <c r="FR34" s="4">
        <v>49</v>
      </c>
      <c r="FS34" s="4">
        <v>28</v>
      </c>
      <c r="FT34" s="4">
        <v>53</v>
      </c>
      <c r="FU34" s="4">
        <v>5</v>
      </c>
      <c r="FV34" s="4">
        <v>71</v>
      </c>
      <c r="FW34" s="4">
        <v>61</v>
      </c>
      <c r="FX34" s="4">
        <v>53</v>
      </c>
      <c r="FY34" s="4">
        <v>74</v>
      </c>
      <c r="FZ34" s="4">
        <v>50</v>
      </c>
      <c r="GA34" s="4">
        <v>65</v>
      </c>
      <c r="GB34" s="4">
        <v>65</v>
      </c>
      <c r="GC34" s="4">
        <v>65</v>
      </c>
      <c r="GD34" s="4">
        <v>2</v>
      </c>
      <c r="GE34" s="4">
        <v>36</v>
      </c>
      <c r="GF34" s="4">
        <v>54</v>
      </c>
      <c r="GG34" s="4">
        <v>100</v>
      </c>
      <c r="GH34" s="4">
        <v>100</v>
      </c>
      <c r="GJ34" s="4">
        <v>21</v>
      </c>
      <c r="GK34" s="4">
        <v>2</v>
      </c>
      <c r="GL34" s="4">
        <v>25</v>
      </c>
    </row>
    <row r="35" spans="1:203" hidden="1" x14ac:dyDescent="0.25">
      <c r="S35" s="12"/>
      <c r="T35" s="12"/>
      <c r="U35" s="12"/>
      <c r="V35" s="12"/>
      <c r="W35" s="13"/>
      <c r="BV35" s="4">
        <v>20</v>
      </c>
      <c r="BW35" s="4">
        <v>43</v>
      </c>
      <c r="BX35" s="4">
        <v>48</v>
      </c>
      <c r="BY35" s="4">
        <v>65</v>
      </c>
      <c r="BZ35" s="4">
        <v>3</v>
      </c>
      <c r="CA35" s="4">
        <v>13</v>
      </c>
      <c r="CB35" s="4">
        <v>20</v>
      </c>
      <c r="CC35" s="4">
        <v>31</v>
      </c>
      <c r="CD35" s="4">
        <v>83</v>
      </c>
      <c r="CE35" s="4">
        <v>2</v>
      </c>
      <c r="CF35" s="4">
        <v>44</v>
      </c>
      <c r="CG35" s="4">
        <v>47</v>
      </c>
      <c r="CH35" s="4">
        <v>68</v>
      </c>
      <c r="CI35" s="4">
        <v>70</v>
      </c>
      <c r="CJ35" s="4">
        <v>50</v>
      </c>
      <c r="CK35" s="4">
        <v>85</v>
      </c>
      <c r="CL35" s="4">
        <v>19</v>
      </c>
      <c r="CM35" s="4">
        <v>81</v>
      </c>
      <c r="CN35" s="4">
        <v>36</v>
      </c>
      <c r="CO35" s="4">
        <v>69</v>
      </c>
      <c r="CP35" s="4">
        <v>100</v>
      </c>
      <c r="CQ35" s="4">
        <v>73</v>
      </c>
      <c r="CR35" s="4">
        <v>72</v>
      </c>
      <c r="CS35" s="4">
        <v>43</v>
      </c>
      <c r="CT35" s="4">
        <v>64</v>
      </c>
      <c r="CU35" s="4">
        <v>15</v>
      </c>
      <c r="CV35" s="4">
        <v>63</v>
      </c>
      <c r="CW35" s="4">
        <v>72</v>
      </c>
      <c r="CX35" s="4">
        <v>100</v>
      </c>
      <c r="CY35" s="4">
        <v>100</v>
      </c>
      <c r="CZ35" s="4">
        <v>41</v>
      </c>
      <c r="DA35" s="4">
        <v>47</v>
      </c>
      <c r="DB35" s="4">
        <v>60</v>
      </c>
      <c r="DC35" s="4">
        <v>1</v>
      </c>
      <c r="DD35" s="4">
        <v>16</v>
      </c>
      <c r="DE35" s="4">
        <v>21</v>
      </c>
      <c r="DF35" s="4">
        <v>22</v>
      </c>
      <c r="DG35" s="4">
        <v>79</v>
      </c>
      <c r="DH35" s="4">
        <v>3</v>
      </c>
      <c r="DI35" s="4">
        <v>43</v>
      </c>
      <c r="DJ35" s="4">
        <v>44</v>
      </c>
      <c r="DK35" s="4">
        <v>64</v>
      </c>
      <c r="DL35" s="4">
        <v>60</v>
      </c>
      <c r="DM35" s="4">
        <v>50</v>
      </c>
      <c r="DN35" s="4">
        <v>83</v>
      </c>
      <c r="DO35" s="4">
        <v>25</v>
      </c>
      <c r="DP35" s="4">
        <v>80</v>
      </c>
      <c r="DQ35" s="4">
        <v>35</v>
      </c>
      <c r="DR35" s="4">
        <v>67</v>
      </c>
      <c r="DS35" s="4">
        <v>107</v>
      </c>
      <c r="DT35" s="4">
        <v>73</v>
      </c>
      <c r="DU35" s="4">
        <v>57</v>
      </c>
      <c r="DV35" s="4">
        <v>40</v>
      </c>
      <c r="DW35" s="4">
        <v>62</v>
      </c>
      <c r="DX35" s="4">
        <v>16</v>
      </c>
      <c r="DY35" s="4">
        <v>57</v>
      </c>
      <c r="DZ35" s="4">
        <v>72</v>
      </c>
      <c r="EA35" s="4">
        <v>100</v>
      </c>
      <c r="EB35" s="4">
        <v>100</v>
      </c>
      <c r="EC35" s="4">
        <v>33</v>
      </c>
      <c r="ED35" s="4">
        <v>34</v>
      </c>
      <c r="EE35" s="4">
        <v>50</v>
      </c>
      <c r="EF35" s="4">
        <v>1</v>
      </c>
      <c r="EG35" s="4">
        <v>30</v>
      </c>
      <c r="EH35" s="4">
        <v>40</v>
      </c>
      <c r="EI35" s="4">
        <v>45</v>
      </c>
      <c r="EJ35" s="4">
        <v>79</v>
      </c>
      <c r="EK35" s="4">
        <v>5</v>
      </c>
      <c r="EL35" s="4">
        <v>43</v>
      </c>
      <c r="EM35" s="4">
        <v>40</v>
      </c>
      <c r="EN35" s="4">
        <v>57</v>
      </c>
      <c r="EO35" s="4">
        <v>56</v>
      </c>
      <c r="EP35" s="4">
        <v>39</v>
      </c>
      <c r="EQ35" s="4">
        <v>58</v>
      </c>
      <c r="ER35" s="4">
        <v>7</v>
      </c>
      <c r="ES35" s="4">
        <v>73</v>
      </c>
      <c r="ET35" s="4">
        <v>59</v>
      </c>
      <c r="EU35" s="4">
        <v>63</v>
      </c>
      <c r="EV35" s="4">
        <v>77</v>
      </c>
      <c r="EW35" s="4">
        <v>56</v>
      </c>
      <c r="EX35" s="4">
        <v>72</v>
      </c>
      <c r="EY35" s="4">
        <v>63</v>
      </c>
      <c r="EZ35" s="4">
        <v>69</v>
      </c>
      <c r="FA35" s="4">
        <v>4</v>
      </c>
      <c r="FB35" s="4">
        <v>43</v>
      </c>
      <c r="FC35" s="4">
        <v>62</v>
      </c>
      <c r="FD35" s="4">
        <v>100</v>
      </c>
      <c r="FE35" s="4">
        <v>100</v>
      </c>
      <c r="FF35" s="4">
        <v>28</v>
      </c>
      <c r="FG35" s="4">
        <v>31</v>
      </c>
      <c r="FH35" s="4">
        <v>46</v>
      </c>
      <c r="FI35" s="4">
        <v>1</v>
      </c>
      <c r="FJ35" s="4">
        <v>34</v>
      </c>
      <c r="FK35" s="4">
        <v>47</v>
      </c>
      <c r="FL35" s="4">
        <v>45</v>
      </c>
      <c r="FM35" s="4">
        <v>89</v>
      </c>
      <c r="FN35" s="4">
        <v>4</v>
      </c>
      <c r="FO35" s="4">
        <v>38</v>
      </c>
      <c r="FP35" s="4">
        <v>30</v>
      </c>
      <c r="FQ35" s="4">
        <v>48</v>
      </c>
      <c r="FR35" s="4">
        <v>50</v>
      </c>
      <c r="FS35" s="4">
        <v>29</v>
      </c>
      <c r="FT35" s="4">
        <v>57</v>
      </c>
      <c r="FU35" s="4">
        <v>11</v>
      </c>
      <c r="FV35" s="4">
        <v>73</v>
      </c>
      <c r="FW35" s="4">
        <v>64</v>
      </c>
      <c r="FX35" s="4">
        <v>56</v>
      </c>
      <c r="FY35" s="4">
        <v>75</v>
      </c>
      <c r="FZ35" s="4">
        <v>52</v>
      </c>
      <c r="GA35" s="4">
        <v>66</v>
      </c>
      <c r="GB35" s="4">
        <v>68</v>
      </c>
      <c r="GC35" s="4">
        <v>66</v>
      </c>
      <c r="GD35" s="4">
        <v>5</v>
      </c>
      <c r="GE35" s="4">
        <v>39</v>
      </c>
      <c r="GF35" s="4">
        <v>56</v>
      </c>
      <c r="GG35" s="4">
        <v>100</v>
      </c>
      <c r="GH35" s="4">
        <v>100</v>
      </c>
      <c r="GJ35" s="4">
        <v>22</v>
      </c>
      <c r="GK35" s="4">
        <v>2</v>
      </c>
      <c r="GL35" s="4">
        <v>25</v>
      </c>
    </row>
    <row r="36" spans="1:203" hidden="1" x14ac:dyDescent="0.25">
      <c r="S36" s="12"/>
      <c r="T36" s="12"/>
      <c r="U36" s="12"/>
      <c r="V36" s="12"/>
      <c r="W36" s="13"/>
      <c r="BV36" s="4">
        <v>21</v>
      </c>
      <c r="BW36" s="4">
        <v>44</v>
      </c>
      <c r="BX36" s="4">
        <v>49</v>
      </c>
      <c r="BY36" s="4">
        <v>66</v>
      </c>
      <c r="BZ36" s="4">
        <v>4</v>
      </c>
      <c r="CA36" s="4">
        <v>15</v>
      </c>
      <c r="CB36" s="4">
        <v>21</v>
      </c>
      <c r="CC36" s="4">
        <v>34</v>
      </c>
      <c r="CD36" s="4">
        <v>85</v>
      </c>
      <c r="CE36" s="4">
        <v>3</v>
      </c>
      <c r="CF36" s="4">
        <v>46</v>
      </c>
      <c r="CG36" s="4">
        <v>48</v>
      </c>
      <c r="CH36" s="4">
        <v>69</v>
      </c>
      <c r="CI36" s="4">
        <v>71</v>
      </c>
      <c r="CJ36" s="4">
        <v>51</v>
      </c>
      <c r="CK36" s="4">
        <v>92</v>
      </c>
      <c r="CL36" s="4">
        <v>20</v>
      </c>
      <c r="CM36" s="4">
        <v>82</v>
      </c>
      <c r="CN36" s="4">
        <v>40</v>
      </c>
      <c r="CO36" s="4">
        <v>72</v>
      </c>
      <c r="CP36" s="4">
        <v>102</v>
      </c>
      <c r="CQ36" s="4">
        <v>74</v>
      </c>
      <c r="CR36" s="4">
        <v>73</v>
      </c>
      <c r="CS36" s="4">
        <v>45</v>
      </c>
      <c r="CT36" s="4">
        <v>67</v>
      </c>
      <c r="CU36" s="4">
        <v>17</v>
      </c>
      <c r="CV36" s="4">
        <v>65</v>
      </c>
      <c r="CW36" s="4">
        <v>73</v>
      </c>
      <c r="CX36" s="4">
        <v>100</v>
      </c>
      <c r="CY36" s="4">
        <v>100</v>
      </c>
      <c r="CZ36" s="4">
        <v>43</v>
      </c>
      <c r="DA36" s="4">
        <v>48</v>
      </c>
      <c r="DB36" s="4">
        <v>62</v>
      </c>
      <c r="DC36" s="4">
        <v>1</v>
      </c>
      <c r="DD36" s="4">
        <v>16</v>
      </c>
      <c r="DE36" s="4">
        <v>22</v>
      </c>
      <c r="DF36" s="4">
        <v>24</v>
      </c>
      <c r="DG36" s="4">
        <v>85</v>
      </c>
      <c r="DH36" s="4">
        <v>3</v>
      </c>
      <c r="DI36" s="4">
        <v>44</v>
      </c>
      <c r="DJ36" s="4">
        <v>46</v>
      </c>
      <c r="DK36" s="4">
        <v>67</v>
      </c>
      <c r="DL36" s="4">
        <v>62</v>
      </c>
      <c r="DM36" s="4">
        <v>51</v>
      </c>
      <c r="DN36" s="4">
        <v>85</v>
      </c>
      <c r="DO36" s="4">
        <v>28</v>
      </c>
      <c r="DP36" s="4">
        <v>82</v>
      </c>
      <c r="DQ36" s="4">
        <v>40</v>
      </c>
      <c r="DR36" s="4">
        <v>69</v>
      </c>
      <c r="DS36" s="4">
        <v>107</v>
      </c>
      <c r="DT36" s="4">
        <v>74</v>
      </c>
      <c r="DU36" s="4">
        <v>60</v>
      </c>
      <c r="DV36" s="4">
        <v>42</v>
      </c>
      <c r="DW36" s="4">
        <v>65</v>
      </c>
      <c r="DX36" s="4">
        <v>20</v>
      </c>
      <c r="DY36" s="4">
        <v>59</v>
      </c>
      <c r="DZ36" s="4">
        <v>73</v>
      </c>
      <c r="EA36" s="4">
        <v>100</v>
      </c>
      <c r="EB36" s="4">
        <v>100</v>
      </c>
      <c r="EC36" s="4">
        <v>37</v>
      </c>
      <c r="ED36" s="4">
        <v>37</v>
      </c>
      <c r="EE36" s="4">
        <v>52</v>
      </c>
      <c r="EF36" s="4">
        <v>2</v>
      </c>
      <c r="EG36" s="4">
        <v>32</v>
      </c>
      <c r="EH36" s="4">
        <v>42</v>
      </c>
      <c r="EI36" s="4">
        <v>46</v>
      </c>
      <c r="EJ36" s="4">
        <v>80</v>
      </c>
      <c r="EK36" s="4">
        <v>6</v>
      </c>
      <c r="EL36" s="4">
        <v>44</v>
      </c>
      <c r="EM36" s="4">
        <v>41</v>
      </c>
      <c r="EN36" s="4">
        <v>58</v>
      </c>
      <c r="EO36" s="4">
        <v>59</v>
      </c>
      <c r="EP36" s="4">
        <v>40</v>
      </c>
      <c r="EQ36" s="4">
        <v>60</v>
      </c>
      <c r="ER36" s="4">
        <v>8</v>
      </c>
      <c r="ES36" s="4">
        <v>75</v>
      </c>
      <c r="ET36" s="4">
        <v>62</v>
      </c>
      <c r="EU36" s="4">
        <v>65</v>
      </c>
      <c r="EV36" s="4">
        <v>80</v>
      </c>
      <c r="EW36" s="4">
        <v>57</v>
      </c>
      <c r="EX36" s="4">
        <v>74</v>
      </c>
      <c r="EY36" s="4">
        <v>65</v>
      </c>
      <c r="EZ36" s="4">
        <v>71</v>
      </c>
      <c r="FA36" s="4">
        <v>6</v>
      </c>
      <c r="FB36" s="4">
        <v>45</v>
      </c>
      <c r="FC36" s="4">
        <v>63</v>
      </c>
      <c r="FD36" s="4">
        <v>100</v>
      </c>
      <c r="FE36" s="4">
        <v>100</v>
      </c>
      <c r="FF36" s="4">
        <v>29</v>
      </c>
      <c r="FG36" s="4">
        <v>33</v>
      </c>
      <c r="FH36" s="4">
        <v>47</v>
      </c>
      <c r="FI36" s="4">
        <v>1</v>
      </c>
      <c r="FJ36" s="4">
        <v>37</v>
      </c>
      <c r="FK36" s="4">
        <v>48</v>
      </c>
      <c r="FL36" s="4">
        <v>46</v>
      </c>
      <c r="FM36" s="4">
        <v>97</v>
      </c>
      <c r="FN36" s="4">
        <v>5</v>
      </c>
      <c r="FO36" s="4">
        <v>40</v>
      </c>
      <c r="FP36" s="4">
        <v>32</v>
      </c>
      <c r="FQ36" s="4">
        <v>50</v>
      </c>
      <c r="FR36" s="4">
        <v>53</v>
      </c>
      <c r="FS36" s="4">
        <v>30</v>
      </c>
      <c r="FT36" s="4">
        <v>60</v>
      </c>
      <c r="FU36" s="4">
        <v>16</v>
      </c>
      <c r="FV36" s="4">
        <v>74</v>
      </c>
      <c r="FW36" s="4">
        <v>67</v>
      </c>
      <c r="FX36" s="4">
        <v>60</v>
      </c>
      <c r="FY36" s="4">
        <v>79</v>
      </c>
      <c r="FZ36" s="4">
        <v>53</v>
      </c>
      <c r="GA36" s="4">
        <v>67</v>
      </c>
      <c r="GB36" s="4">
        <v>70</v>
      </c>
      <c r="GC36" s="4">
        <v>69</v>
      </c>
      <c r="GD36" s="4">
        <v>7</v>
      </c>
      <c r="GE36" s="4">
        <v>40</v>
      </c>
      <c r="GF36" s="4">
        <v>57</v>
      </c>
      <c r="GG36" s="4">
        <v>100</v>
      </c>
      <c r="GH36" s="4">
        <v>100</v>
      </c>
      <c r="GJ36" s="4">
        <v>23</v>
      </c>
      <c r="GK36" s="4">
        <v>2</v>
      </c>
      <c r="GL36" s="4">
        <v>25</v>
      </c>
      <c r="GT36" s="4">
        <v>-100</v>
      </c>
      <c r="GU36" s="4">
        <v>-7</v>
      </c>
    </row>
    <row r="37" spans="1:203" hidden="1" x14ac:dyDescent="0.25">
      <c r="S37" s="12"/>
      <c r="T37" s="12"/>
      <c r="U37" s="12"/>
      <c r="V37" s="12"/>
      <c r="W37" s="13"/>
      <c r="BV37" s="4">
        <v>22</v>
      </c>
      <c r="BW37" s="4">
        <v>46</v>
      </c>
      <c r="BX37" s="4">
        <v>50</v>
      </c>
      <c r="BY37" s="4">
        <v>68</v>
      </c>
      <c r="BZ37" s="4">
        <v>5</v>
      </c>
      <c r="CA37" s="4">
        <v>17</v>
      </c>
      <c r="CB37" s="4">
        <v>22</v>
      </c>
      <c r="CC37" s="4">
        <v>37</v>
      </c>
      <c r="CD37" s="4">
        <v>89</v>
      </c>
      <c r="CE37" s="4">
        <v>5</v>
      </c>
      <c r="CF37" s="4">
        <v>47</v>
      </c>
      <c r="CG37" s="4">
        <v>49</v>
      </c>
      <c r="CH37" s="4">
        <v>70</v>
      </c>
      <c r="CI37" s="4">
        <v>72</v>
      </c>
      <c r="CJ37" s="4">
        <v>52</v>
      </c>
      <c r="CK37" s="4">
        <v>103</v>
      </c>
      <c r="CL37" s="4">
        <v>22</v>
      </c>
      <c r="CM37" s="4">
        <v>85</v>
      </c>
      <c r="CN37" s="4">
        <v>43</v>
      </c>
      <c r="CO37" s="4">
        <v>75</v>
      </c>
      <c r="CP37" s="4">
        <v>102</v>
      </c>
      <c r="CQ37" s="4">
        <v>75</v>
      </c>
      <c r="CR37" s="4">
        <v>74</v>
      </c>
      <c r="CS37" s="4">
        <v>48</v>
      </c>
      <c r="CT37" s="4">
        <v>70</v>
      </c>
      <c r="CU37" s="4">
        <v>20</v>
      </c>
      <c r="CV37" s="4">
        <v>67</v>
      </c>
      <c r="CW37" s="4">
        <v>74</v>
      </c>
      <c r="CX37" s="4">
        <v>100</v>
      </c>
      <c r="CY37" s="4">
        <v>100</v>
      </c>
      <c r="CZ37" s="4">
        <v>45</v>
      </c>
      <c r="DA37" s="4">
        <v>49</v>
      </c>
      <c r="DB37" s="4">
        <v>62</v>
      </c>
      <c r="DC37" s="4">
        <v>3</v>
      </c>
      <c r="DD37" s="4">
        <v>18</v>
      </c>
      <c r="DE37" s="4">
        <v>24</v>
      </c>
      <c r="DF37" s="4">
        <v>25</v>
      </c>
      <c r="DG37" s="4">
        <v>87</v>
      </c>
      <c r="DH37" s="4">
        <v>3</v>
      </c>
      <c r="DI37" s="4">
        <v>46</v>
      </c>
      <c r="DJ37" s="4">
        <v>46</v>
      </c>
      <c r="DK37" s="4">
        <v>70</v>
      </c>
      <c r="DL37" s="4">
        <v>64</v>
      </c>
      <c r="DM37" s="4">
        <v>52</v>
      </c>
      <c r="DN37" s="4">
        <v>87</v>
      </c>
      <c r="DO37" s="4">
        <v>32</v>
      </c>
      <c r="DP37" s="4">
        <v>85</v>
      </c>
      <c r="DQ37" s="4">
        <v>41</v>
      </c>
      <c r="DR37" s="4">
        <v>72</v>
      </c>
      <c r="DS37" s="4">
        <v>112</v>
      </c>
      <c r="DT37" s="4">
        <v>74</v>
      </c>
      <c r="DU37" s="4">
        <v>61</v>
      </c>
      <c r="DV37" s="4">
        <v>45</v>
      </c>
      <c r="DW37" s="4">
        <v>69</v>
      </c>
      <c r="DX37" s="4">
        <v>25</v>
      </c>
      <c r="DY37" s="4">
        <v>61</v>
      </c>
      <c r="DZ37" s="4">
        <v>74</v>
      </c>
      <c r="EA37" s="4">
        <v>100</v>
      </c>
      <c r="EB37" s="4">
        <v>100</v>
      </c>
      <c r="EC37" s="4">
        <v>40</v>
      </c>
      <c r="ED37" s="4">
        <v>40</v>
      </c>
      <c r="EE37" s="4">
        <v>53</v>
      </c>
      <c r="EF37" s="4">
        <v>2</v>
      </c>
      <c r="EG37" s="4">
        <v>34</v>
      </c>
      <c r="EH37" s="4">
        <v>44</v>
      </c>
      <c r="EI37" s="4">
        <v>47</v>
      </c>
      <c r="EJ37" s="4">
        <v>82</v>
      </c>
      <c r="EK37" s="4">
        <v>6</v>
      </c>
      <c r="EL37" s="4">
        <v>45</v>
      </c>
      <c r="EM37" s="4">
        <v>42</v>
      </c>
      <c r="EN37" s="4">
        <v>61</v>
      </c>
      <c r="EO37" s="4">
        <v>62</v>
      </c>
      <c r="EP37" s="4">
        <v>41</v>
      </c>
      <c r="EQ37" s="4">
        <v>63</v>
      </c>
      <c r="ER37" s="4">
        <v>9</v>
      </c>
      <c r="ES37" s="4">
        <v>79</v>
      </c>
      <c r="ET37" s="4">
        <v>64</v>
      </c>
      <c r="EU37" s="4">
        <v>67</v>
      </c>
      <c r="EV37" s="4">
        <v>82</v>
      </c>
      <c r="EW37" s="4">
        <v>58</v>
      </c>
      <c r="EX37" s="4">
        <v>75</v>
      </c>
      <c r="EY37" s="4">
        <v>68</v>
      </c>
      <c r="EZ37" s="4">
        <v>73</v>
      </c>
      <c r="FA37" s="4">
        <v>7</v>
      </c>
      <c r="FB37" s="4">
        <v>47</v>
      </c>
      <c r="FC37" s="4">
        <v>64</v>
      </c>
      <c r="FD37" s="4">
        <v>100</v>
      </c>
      <c r="FE37" s="4">
        <v>100</v>
      </c>
      <c r="FF37" s="4">
        <v>32</v>
      </c>
      <c r="FG37" s="4">
        <v>36</v>
      </c>
      <c r="FH37" s="4">
        <v>48</v>
      </c>
      <c r="FI37" s="4">
        <v>1</v>
      </c>
      <c r="FJ37" s="4">
        <v>40</v>
      </c>
      <c r="FK37" s="4">
        <v>49</v>
      </c>
      <c r="FL37" s="4">
        <v>47</v>
      </c>
      <c r="FM37" s="4">
        <v>99</v>
      </c>
      <c r="FN37" s="4">
        <v>5</v>
      </c>
      <c r="FO37" s="4">
        <v>41</v>
      </c>
      <c r="FP37" s="4">
        <v>33</v>
      </c>
      <c r="FQ37" s="4">
        <v>53</v>
      </c>
      <c r="FR37" s="4">
        <v>55</v>
      </c>
      <c r="FS37" s="4">
        <v>31</v>
      </c>
      <c r="FT37" s="4">
        <v>61</v>
      </c>
      <c r="FU37" s="4">
        <v>20</v>
      </c>
      <c r="FV37" s="4">
        <v>75</v>
      </c>
      <c r="FW37" s="4">
        <v>68</v>
      </c>
      <c r="FX37" s="4">
        <v>63</v>
      </c>
      <c r="FY37" s="4">
        <v>81</v>
      </c>
      <c r="FZ37" s="4">
        <v>54</v>
      </c>
      <c r="GA37" s="4">
        <v>68</v>
      </c>
      <c r="GB37" s="4">
        <v>73</v>
      </c>
      <c r="GC37" s="4">
        <v>72</v>
      </c>
      <c r="GD37" s="4">
        <v>8</v>
      </c>
      <c r="GE37" s="4">
        <v>41</v>
      </c>
      <c r="GF37" s="4">
        <v>61</v>
      </c>
      <c r="GG37" s="4">
        <v>100</v>
      </c>
      <c r="GH37" s="4">
        <v>100</v>
      </c>
      <c r="GJ37" s="4">
        <v>24</v>
      </c>
      <c r="GK37" s="4">
        <v>2</v>
      </c>
      <c r="GL37" s="4">
        <v>25</v>
      </c>
      <c r="GT37" s="4">
        <v>-99</v>
      </c>
      <c r="GU37" s="4">
        <v>-7</v>
      </c>
    </row>
    <row r="38" spans="1:203" hidden="1" x14ac:dyDescent="0.25">
      <c r="S38" s="12"/>
      <c r="T38" s="12"/>
      <c r="U38" s="12"/>
      <c r="V38" s="12"/>
      <c r="W38" s="13"/>
      <c r="BV38" s="4">
        <v>23</v>
      </c>
      <c r="BW38" s="4">
        <v>47</v>
      </c>
      <c r="BX38" s="4">
        <v>52</v>
      </c>
      <c r="BY38" s="4">
        <v>71</v>
      </c>
      <c r="BZ38" s="4">
        <v>7</v>
      </c>
      <c r="CA38" s="4">
        <v>20</v>
      </c>
      <c r="CB38" s="4">
        <v>25</v>
      </c>
      <c r="CC38" s="4">
        <v>40</v>
      </c>
      <c r="CD38" s="4">
        <v>91</v>
      </c>
      <c r="CE38" s="4">
        <v>6</v>
      </c>
      <c r="CF38" s="4">
        <v>49</v>
      </c>
      <c r="CG38" s="4">
        <v>50</v>
      </c>
      <c r="CH38" s="4">
        <v>72</v>
      </c>
      <c r="CI38" s="4">
        <v>73</v>
      </c>
      <c r="CJ38" s="4">
        <v>54</v>
      </c>
      <c r="CK38" s="4">
        <v>105</v>
      </c>
      <c r="CL38" s="4">
        <v>24</v>
      </c>
      <c r="CM38" s="4">
        <v>88</v>
      </c>
      <c r="CN38" s="4">
        <v>45</v>
      </c>
      <c r="CO38" s="4">
        <v>79</v>
      </c>
      <c r="CP38" s="4">
        <v>106</v>
      </c>
      <c r="CQ38" s="4">
        <v>80</v>
      </c>
      <c r="CR38" s="4">
        <v>75</v>
      </c>
      <c r="CS38" s="4">
        <v>50</v>
      </c>
      <c r="CT38" s="4">
        <v>73</v>
      </c>
      <c r="CU38" s="4">
        <v>21</v>
      </c>
      <c r="CV38" s="4">
        <v>68</v>
      </c>
      <c r="CW38" s="4">
        <v>75</v>
      </c>
      <c r="CX38" s="4">
        <v>100</v>
      </c>
      <c r="CY38" s="4">
        <v>100</v>
      </c>
      <c r="CZ38" s="4">
        <v>46</v>
      </c>
      <c r="DA38" s="4">
        <v>50</v>
      </c>
      <c r="DB38" s="4">
        <v>63</v>
      </c>
      <c r="DC38" s="4">
        <v>3</v>
      </c>
      <c r="DD38" s="4">
        <v>20</v>
      </c>
      <c r="DE38" s="4">
        <v>27</v>
      </c>
      <c r="DF38" s="4">
        <v>27</v>
      </c>
      <c r="DG38" s="4">
        <v>90</v>
      </c>
      <c r="DH38" s="4">
        <v>5</v>
      </c>
      <c r="DI38" s="4">
        <v>48</v>
      </c>
      <c r="DJ38" s="4">
        <v>47</v>
      </c>
      <c r="DK38" s="4">
        <v>73</v>
      </c>
      <c r="DL38" s="4">
        <v>68</v>
      </c>
      <c r="DM38" s="4">
        <v>54</v>
      </c>
      <c r="DN38" s="4">
        <v>92</v>
      </c>
      <c r="DO38" s="4">
        <v>37</v>
      </c>
      <c r="DP38" s="4">
        <v>90</v>
      </c>
      <c r="DQ38" s="4">
        <v>43</v>
      </c>
      <c r="DR38" s="4">
        <v>75</v>
      </c>
      <c r="DS38" s="4">
        <v>112</v>
      </c>
      <c r="DT38" s="4">
        <v>75</v>
      </c>
      <c r="DU38" s="4">
        <v>62</v>
      </c>
      <c r="DV38" s="4">
        <v>47</v>
      </c>
      <c r="DW38" s="4">
        <v>72</v>
      </c>
      <c r="DX38" s="4">
        <v>28</v>
      </c>
      <c r="DY38" s="4">
        <v>62</v>
      </c>
      <c r="DZ38" s="4">
        <v>75</v>
      </c>
      <c r="EA38" s="4">
        <v>100</v>
      </c>
      <c r="EB38" s="4">
        <v>100</v>
      </c>
      <c r="EC38" s="4">
        <v>42</v>
      </c>
      <c r="ED38" s="4">
        <v>41</v>
      </c>
      <c r="EE38" s="4">
        <v>55</v>
      </c>
      <c r="EF38" s="4">
        <v>2</v>
      </c>
      <c r="EG38" s="4">
        <v>37</v>
      </c>
      <c r="EH38" s="4">
        <v>45</v>
      </c>
      <c r="EI38" s="4">
        <v>48</v>
      </c>
      <c r="EJ38" s="4">
        <v>84</v>
      </c>
      <c r="EK38" s="4">
        <v>7</v>
      </c>
      <c r="EL38" s="4">
        <v>47</v>
      </c>
      <c r="EM38" s="4">
        <v>43</v>
      </c>
      <c r="EN38" s="4">
        <v>62</v>
      </c>
      <c r="EO38" s="4">
        <v>64</v>
      </c>
      <c r="EP38" s="4">
        <v>42</v>
      </c>
      <c r="EQ38" s="4">
        <v>66</v>
      </c>
      <c r="ER38" s="4">
        <v>12</v>
      </c>
      <c r="ES38" s="4">
        <v>80</v>
      </c>
      <c r="ET38" s="4">
        <v>67</v>
      </c>
      <c r="EU38" s="4">
        <v>70</v>
      </c>
      <c r="EV38" s="4">
        <v>85</v>
      </c>
      <c r="EW38" s="4">
        <v>60</v>
      </c>
      <c r="EX38" s="4">
        <v>76</v>
      </c>
      <c r="EY38" s="4">
        <v>71</v>
      </c>
      <c r="EZ38" s="4">
        <v>75</v>
      </c>
      <c r="FA38" s="4">
        <v>8</v>
      </c>
      <c r="FB38" s="4">
        <v>49</v>
      </c>
      <c r="FC38" s="4">
        <v>65</v>
      </c>
      <c r="FD38" s="4">
        <v>100</v>
      </c>
      <c r="FE38" s="4">
        <v>100</v>
      </c>
      <c r="FF38" s="4">
        <v>38</v>
      </c>
      <c r="FG38" s="4">
        <v>37</v>
      </c>
      <c r="FH38" s="4">
        <v>49</v>
      </c>
      <c r="FI38" s="4">
        <v>1</v>
      </c>
      <c r="FJ38" s="4">
        <v>41</v>
      </c>
      <c r="FK38" s="4">
        <v>50</v>
      </c>
      <c r="FL38" s="4">
        <v>48</v>
      </c>
      <c r="FM38" s="4">
        <v>100</v>
      </c>
      <c r="FN38" s="4">
        <v>8</v>
      </c>
      <c r="FO38" s="4">
        <v>42</v>
      </c>
      <c r="FP38" s="4">
        <v>34</v>
      </c>
      <c r="FQ38" s="4">
        <v>55</v>
      </c>
      <c r="FR38" s="4">
        <v>57</v>
      </c>
      <c r="FS38" s="4">
        <v>33</v>
      </c>
      <c r="FT38" s="4">
        <v>64</v>
      </c>
      <c r="FU38" s="4">
        <v>24</v>
      </c>
      <c r="FV38" s="4">
        <v>78</v>
      </c>
      <c r="FW38" s="4">
        <v>70</v>
      </c>
      <c r="FX38" s="4">
        <v>65</v>
      </c>
      <c r="FY38" s="4">
        <v>83</v>
      </c>
      <c r="FZ38" s="4">
        <v>56</v>
      </c>
      <c r="GA38" s="4">
        <v>70</v>
      </c>
      <c r="GB38" s="4">
        <v>74</v>
      </c>
      <c r="GC38" s="4">
        <v>75</v>
      </c>
      <c r="GD38" s="4">
        <v>9</v>
      </c>
      <c r="GE38" s="4">
        <v>42</v>
      </c>
      <c r="GF38" s="4">
        <v>62</v>
      </c>
      <c r="GG38" s="4">
        <v>100</v>
      </c>
      <c r="GH38" s="4">
        <v>100</v>
      </c>
      <c r="GJ38" s="4">
        <v>25</v>
      </c>
      <c r="GK38" s="4">
        <v>2</v>
      </c>
      <c r="GL38" s="4">
        <v>25</v>
      </c>
      <c r="GT38" s="4">
        <v>-98</v>
      </c>
      <c r="GU38" s="4">
        <v>-7</v>
      </c>
    </row>
    <row r="39" spans="1:203" hidden="1" x14ac:dyDescent="0.25">
      <c r="S39" s="12"/>
      <c r="T39" s="12"/>
      <c r="U39" s="12"/>
      <c r="V39" s="12"/>
      <c r="W39" s="13"/>
      <c r="BV39" s="4">
        <v>24</v>
      </c>
      <c r="BW39" s="4">
        <v>49</v>
      </c>
      <c r="BX39" s="4">
        <v>56</v>
      </c>
      <c r="BY39" s="4">
        <v>73</v>
      </c>
      <c r="BZ39" s="4">
        <v>8</v>
      </c>
      <c r="CA39" s="4">
        <v>21</v>
      </c>
      <c r="CB39" s="4">
        <v>27</v>
      </c>
      <c r="CC39" s="4">
        <v>42</v>
      </c>
      <c r="CD39" s="4">
        <v>92</v>
      </c>
      <c r="CE39" s="4">
        <v>7</v>
      </c>
      <c r="CF39" s="4">
        <v>50</v>
      </c>
      <c r="CG39" s="4">
        <v>52</v>
      </c>
      <c r="CH39" s="4">
        <v>75</v>
      </c>
      <c r="CI39" s="4">
        <v>75</v>
      </c>
      <c r="CJ39" s="4">
        <v>57</v>
      </c>
      <c r="CK39" s="4">
        <v>107</v>
      </c>
      <c r="CL39" s="4">
        <v>28</v>
      </c>
      <c r="CM39" s="4">
        <v>92</v>
      </c>
      <c r="CN39" s="4">
        <v>50</v>
      </c>
      <c r="CO39" s="4">
        <v>82</v>
      </c>
      <c r="CP39" s="4">
        <v>108</v>
      </c>
      <c r="CQ39" s="4">
        <v>81</v>
      </c>
      <c r="CR39" s="4">
        <v>77</v>
      </c>
      <c r="CS39" s="4">
        <v>54</v>
      </c>
      <c r="CT39" s="4">
        <v>75</v>
      </c>
      <c r="CU39" s="4">
        <v>24</v>
      </c>
      <c r="CV39" s="4">
        <v>69</v>
      </c>
      <c r="CW39" s="4">
        <v>76</v>
      </c>
      <c r="CX39" s="4">
        <v>100</v>
      </c>
      <c r="CY39" s="4">
        <v>100</v>
      </c>
      <c r="CZ39" s="4">
        <v>47</v>
      </c>
      <c r="DA39" s="4">
        <v>52</v>
      </c>
      <c r="DB39" s="4">
        <v>63</v>
      </c>
      <c r="DC39" s="4">
        <v>3</v>
      </c>
      <c r="DD39" s="4">
        <v>22</v>
      </c>
      <c r="DE39" s="4">
        <v>31</v>
      </c>
      <c r="DF39" s="4">
        <v>32</v>
      </c>
      <c r="DG39" s="4">
        <v>90</v>
      </c>
      <c r="DH39" s="4">
        <v>5</v>
      </c>
      <c r="DI39" s="4">
        <v>49</v>
      </c>
      <c r="DJ39" s="4">
        <v>48</v>
      </c>
      <c r="DK39" s="4">
        <v>74</v>
      </c>
      <c r="DL39" s="4">
        <v>71</v>
      </c>
      <c r="DM39" s="4">
        <v>54</v>
      </c>
      <c r="DN39" s="4">
        <v>100</v>
      </c>
      <c r="DO39" s="4">
        <v>40</v>
      </c>
      <c r="DP39" s="4">
        <v>90</v>
      </c>
      <c r="DQ39" s="4">
        <v>46</v>
      </c>
      <c r="DR39" s="4">
        <v>79</v>
      </c>
      <c r="DS39" s="4">
        <v>112</v>
      </c>
      <c r="DT39" s="4">
        <v>77</v>
      </c>
      <c r="DU39" s="4">
        <v>65</v>
      </c>
      <c r="DV39" s="4">
        <v>50</v>
      </c>
      <c r="DW39" s="4">
        <v>75</v>
      </c>
      <c r="DX39" s="4">
        <v>30</v>
      </c>
      <c r="DY39" s="4">
        <v>65</v>
      </c>
      <c r="DZ39" s="4">
        <v>81</v>
      </c>
      <c r="EA39" s="4">
        <v>100</v>
      </c>
      <c r="EB39" s="4">
        <v>100</v>
      </c>
      <c r="EC39" s="4">
        <v>43</v>
      </c>
      <c r="ED39" s="4">
        <v>43</v>
      </c>
      <c r="EE39" s="4">
        <v>58</v>
      </c>
      <c r="EF39" s="4">
        <v>2</v>
      </c>
      <c r="EG39" s="4">
        <v>38</v>
      </c>
      <c r="EH39" s="4">
        <v>47</v>
      </c>
      <c r="EI39" s="4">
        <v>49</v>
      </c>
      <c r="EJ39" s="4">
        <v>85</v>
      </c>
      <c r="EK39" s="4">
        <v>9</v>
      </c>
      <c r="EL39" s="4">
        <v>48</v>
      </c>
      <c r="EM39" s="4">
        <v>44</v>
      </c>
      <c r="EN39" s="4">
        <v>65</v>
      </c>
      <c r="EO39" s="4">
        <v>67</v>
      </c>
      <c r="EP39" s="4">
        <v>42</v>
      </c>
      <c r="EQ39" s="4">
        <v>69</v>
      </c>
      <c r="ER39" s="4">
        <v>14</v>
      </c>
      <c r="ES39" s="4">
        <v>82</v>
      </c>
      <c r="ET39" s="4">
        <v>71</v>
      </c>
      <c r="EU39" s="4">
        <v>72</v>
      </c>
      <c r="EV39" s="4">
        <v>89</v>
      </c>
      <c r="EW39" s="4">
        <v>62</v>
      </c>
      <c r="EX39" s="4">
        <v>78</v>
      </c>
      <c r="EY39" s="4">
        <v>73</v>
      </c>
      <c r="EZ39" s="4">
        <v>78</v>
      </c>
      <c r="FA39" s="4">
        <v>9</v>
      </c>
      <c r="FB39" s="4">
        <v>50</v>
      </c>
      <c r="FC39" s="4">
        <v>66</v>
      </c>
      <c r="FD39" s="4">
        <v>100</v>
      </c>
      <c r="FE39" s="4">
        <v>100</v>
      </c>
      <c r="FF39" s="4">
        <v>40</v>
      </c>
      <c r="FG39" s="4">
        <v>40</v>
      </c>
      <c r="FH39" s="4">
        <v>50</v>
      </c>
      <c r="FI39" s="4">
        <v>1</v>
      </c>
      <c r="FJ39" s="4">
        <v>42</v>
      </c>
      <c r="FK39" s="4">
        <v>52</v>
      </c>
      <c r="FL39" s="4">
        <v>49</v>
      </c>
      <c r="FM39" s="4">
        <v>100</v>
      </c>
      <c r="FN39" s="4">
        <v>12</v>
      </c>
      <c r="FO39" s="4">
        <v>43</v>
      </c>
      <c r="FP39" s="4">
        <v>35</v>
      </c>
      <c r="FQ39" s="4">
        <v>57</v>
      </c>
      <c r="FR39" s="4">
        <v>59</v>
      </c>
      <c r="FS39" s="4">
        <v>34</v>
      </c>
      <c r="FT39" s="4">
        <v>65</v>
      </c>
      <c r="FU39" s="4">
        <v>26</v>
      </c>
      <c r="FV39" s="4">
        <v>82</v>
      </c>
      <c r="FW39" s="4">
        <v>73</v>
      </c>
      <c r="FX39" s="4">
        <v>68</v>
      </c>
      <c r="FY39" s="4">
        <v>85</v>
      </c>
      <c r="FZ39" s="4">
        <v>57</v>
      </c>
      <c r="GA39" s="4">
        <v>72</v>
      </c>
      <c r="GB39" s="4">
        <v>75</v>
      </c>
      <c r="GC39" s="4">
        <v>79</v>
      </c>
      <c r="GD39" s="4">
        <v>10</v>
      </c>
      <c r="GE39" s="4">
        <v>43</v>
      </c>
      <c r="GF39" s="4">
        <v>63</v>
      </c>
      <c r="GG39" s="4">
        <v>100</v>
      </c>
      <c r="GH39" s="4">
        <v>100</v>
      </c>
      <c r="GJ39" s="4">
        <v>26</v>
      </c>
      <c r="GK39" s="4">
        <v>2</v>
      </c>
      <c r="GL39" s="4">
        <v>25</v>
      </c>
      <c r="GT39" s="4">
        <v>-97</v>
      </c>
      <c r="GU39" s="4">
        <v>-7</v>
      </c>
    </row>
    <row r="40" spans="1:203" hidden="1" x14ac:dyDescent="0.25">
      <c r="BV40" s="4">
        <v>25</v>
      </c>
      <c r="BW40" s="4">
        <v>50</v>
      </c>
      <c r="BX40" s="4">
        <v>59</v>
      </c>
      <c r="BY40" s="4">
        <v>74</v>
      </c>
      <c r="BZ40" s="4">
        <v>8</v>
      </c>
      <c r="CA40" s="4">
        <v>22</v>
      </c>
      <c r="CB40" s="4">
        <v>29</v>
      </c>
      <c r="CC40" s="4">
        <v>44</v>
      </c>
      <c r="CD40" s="4">
        <v>93</v>
      </c>
      <c r="CE40" s="4">
        <v>9</v>
      </c>
      <c r="CF40" s="4">
        <v>53</v>
      </c>
      <c r="CG40" s="4">
        <v>55</v>
      </c>
      <c r="CH40" s="4">
        <v>78</v>
      </c>
      <c r="CI40" s="4">
        <v>77</v>
      </c>
      <c r="CJ40" s="4">
        <v>59</v>
      </c>
      <c r="CK40" s="4">
        <v>110</v>
      </c>
      <c r="CL40" s="4">
        <v>31</v>
      </c>
      <c r="CM40" s="4">
        <v>98</v>
      </c>
      <c r="CN40" s="4">
        <v>54</v>
      </c>
      <c r="CO40" s="4">
        <v>85</v>
      </c>
      <c r="CP40" s="4">
        <v>114</v>
      </c>
      <c r="CQ40" s="4">
        <v>85</v>
      </c>
      <c r="CR40" s="4">
        <v>79</v>
      </c>
      <c r="CS40" s="4">
        <v>57</v>
      </c>
      <c r="CT40" s="4">
        <v>79</v>
      </c>
      <c r="CU40" s="4">
        <v>28</v>
      </c>
      <c r="CV40" s="4">
        <v>71</v>
      </c>
      <c r="CW40" s="4">
        <v>78</v>
      </c>
      <c r="CX40" s="4">
        <v>100</v>
      </c>
      <c r="CY40" s="4">
        <v>100</v>
      </c>
      <c r="CZ40" s="4">
        <v>48</v>
      </c>
      <c r="DA40" s="4">
        <v>55</v>
      </c>
      <c r="DB40" s="4">
        <v>63</v>
      </c>
      <c r="DC40" s="4">
        <v>3</v>
      </c>
      <c r="DD40" s="4">
        <v>23</v>
      </c>
      <c r="DE40" s="4">
        <v>33</v>
      </c>
      <c r="DF40" s="4">
        <v>35</v>
      </c>
      <c r="DG40" s="4">
        <v>92</v>
      </c>
      <c r="DH40" s="4">
        <v>5</v>
      </c>
      <c r="DI40" s="4">
        <v>50</v>
      </c>
      <c r="DJ40" s="4">
        <v>49</v>
      </c>
      <c r="DK40" s="4">
        <v>75</v>
      </c>
      <c r="DL40" s="4">
        <v>73</v>
      </c>
      <c r="DM40" s="4">
        <v>57</v>
      </c>
      <c r="DN40" s="4">
        <v>105</v>
      </c>
      <c r="DO40" s="4">
        <v>44</v>
      </c>
      <c r="DP40" s="4">
        <v>92</v>
      </c>
      <c r="DQ40" s="4">
        <v>48</v>
      </c>
      <c r="DR40" s="4">
        <v>85</v>
      </c>
      <c r="DS40" s="4">
        <v>112</v>
      </c>
      <c r="DT40" s="4">
        <v>77</v>
      </c>
      <c r="DU40" s="4">
        <v>68</v>
      </c>
      <c r="DV40" s="4">
        <v>53</v>
      </c>
      <c r="DW40" s="4">
        <v>82</v>
      </c>
      <c r="DX40" s="4">
        <v>37</v>
      </c>
      <c r="DY40" s="4">
        <v>66</v>
      </c>
      <c r="DZ40" s="4">
        <v>83</v>
      </c>
      <c r="EA40" s="4">
        <v>100</v>
      </c>
      <c r="EB40" s="4">
        <v>100</v>
      </c>
      <c r="EC40" s="4">
        <v>45</v>
      </c>
      <c r="ED40" s="4">
        <v>44</v>
      </c>
      <c r="EE40" s="4">
        <v>60</v>
      </c>
      <c r="EF40" s="4">
        <v>3</v>
      </c>
      <c r="EG40" s="4">
        <v>40</v>
      </c>
      <c r="EH40" s="4">
        <v>50</v>
      </c>
      <c r="EI40" s="4">
        <v>50</v>
      </c>
      <c r="EJ40" s="4">
        <v>95</v>
      </c>
      <c r="EK40" s="4">
        <v>11</v>
      </c>
      <c r="EL40" s="4">
        <v>49</v>
      </c>
      <c r="EM40" s="4">
        <v>45</v>
      </c>
      <c r="EN40" s="4">
        <v>67</v>
      </c>
      <c r="EO40" s="4">
        <v>69</v>
      </c>
      <c r="EP40" s="4">
        <v>43</v>
      </c>
      <c r="EQ40" s="4">
        <v>72</v>
      </c>
      <c r="ER40" s="4">
        <v>15</v>
      </c>
      <c r="ES40" s="4">
        <v>85</v>
      </c>
      <c r="ET40" s="4">
        <v>73</v>
      </c>
      <c r="EU40" s="4">
        <v>74</v>
      </c>
      <c r="EV40" s="4">
        <v>95</v>
      </c>
      <c r="EW40" s="4">
        <v>64</v>
      </c>
      <c r="EX40" s="4">
        <v>79</v>
      </c>
      <c r="EY40" s="4">
        <v>75</v>
      </c>
      <c r="EZ40" s="4">
        <v>82</v>
      </c>
      <c r="FA40" s="4">
        <v>10</v>
      </c>
      <c r="FB40" s="4">
        <v>52</v>
      </c>
      <c r="FC40" s="4">
        <v>67</v>
      </c>
      <c r="FD40" s="4">
        <v>100</v>
      </c>
      <c r="FE40" s="4">
        <v>100</v>
      </c>
      <c r="FF40" s="4">
        <v>42</v>
      </c>
      <c r="FG40" s="4">
        <v>41</v>
      </c>
      <c r="FH40" s="4">
        <v>51</v>
      </c>
      <c r="FI40" s="4">
        <v>1</v>
      </c>
      <c r="FJ40" s="4">
        <v>43</v>
      </c>
      <c r="FK40" s="4">
        <v>54</v>
      </c>
      <c r="FL40" s="4">
        <v>50</v>
      </c>
      <c r="FM40" s="4">
        <v>102</v>
      </c>
      <c r="FN40" s="4">
        <v>13</v>
      </c>
      <c r="FO40" s="4">
        <v>45</v>
      </c>
      <c r="FP40" s="4">
        <v>36</v>
      </c>
      <c r="FQ40" s="4">
        <v>60</v>
      </c>
      <c r="FR40" s="4">
        <v>61</v>
      </c>
      <c r="FS40" s="4">
        <v>37</v>
      </c>
      <c r="FT40" s="4">
        <v>68</v>
      </c>
      <c r="FU40" s="4">
        <v>32</v>
      </c>
      <c r="FV40" s="4">
        <v>85</v>
      </c>
      <c r="FW40" s="4">
        <v>75</v>
      </c>
      <c r="FX40" s="4">
        <v>71</v>
      </c>
      <c r="FY40" s="4">
        <v>89</v>
      </c>
      <c r="FZ40" s="4">
        <v>59</v>
      </c>
      <c r="GA40" s="4">
        <v>73</v>
      </c>
      <c r="GB40" s="4">
        <v>77</v>
      </c>
      <c r="GC40" s="4">
        <v>81</v>
      </c>
      <c r="GD40" s="4">
        <v>17</v>
      </c>
      <c r="GE40" s="4">
        <v>44</v>
      </c>
      <c r="GF40" s="4">
        <v>65</v>
      </c>
      <c r="GG40" s="4">
        <v>100</v>
      </c>
      <c r="GH40" s="4">
        <v>100</v>
      </c>
      <c r="GJ40" s="4">
        <v>27</v>
      </c>
      <c r="GK40" s="4">
        <v>2</v>
      </c>
      <c r="GL40" s="4">
        <v>25</v>
      </c>
      <c r="GT40" s="4">
        <v>-96</v>
      </c>
      <c r="GU40" s="4">
        <v>-7</v>
      </c>
    </row>
    <row r="41" spans="1:203" hidden="1" x14ac:dyDescent="0.25">
      <c r="BV41" s="4">
        <v>26</v>
      </c>
      <c r="BW41" s="4">
        <v>51</v>
      </c>
      <c r="BX41" s="4">
        <v>61</v>
      </c>
      <c r="BY41" s="4">
        <v>75</v>
      </c>
      <c r="BZ41" s="4">
        <v>9</v>
      </c>
      <c r="CA41" s="4">
        <v>23</v>
      </c>
      <c r="CB41" s="4">
        <v>31</v>
      </c>
      <c r="CC41" s="4">
        <v>46</v>
      </c>
      <c r="CD41" s="4">
        <v>99</v>
      </c>
      <c r="CE41" s="4">
        <v>12</v>
      </c>
      <c r="CF41" s="4">
        <v>54</v>
      </c>
      <c r="CG41" s="4">
        <v>56</v>
      </c>
      <c r="CH41" s="4">
        <v>83</v>
      </c>
      <c r="CI41" s="4">
        <v>79</v>
      </c>
      <c r="CJ41" s="4">
        <v>60</v>
      </c>
      <c r="CK41" s="4">
        <v>110</v>
      </c>
      <c r="CL41" s="4">
        <v>34</v>
      </c>
      <c r="CM41" s="4">
        <v>101</v>
      </c>
      <c r="CN41" s="4">
        <v>57</v>
      </c>
      <c r="CO41" s="4">
        <v>88</v>
      </c>
      <c r="CP41" s="4">
        <v>114</v>
      </c>
      <c r="CQ41" s="4">
        <v>90</v>
      </c>
      <c r="CR41" s="4">
        <v>80</v>
      </c>
      <c r="CS41" s="4">
        <v>60</v>
      </c>
      <c r="CT41" s="4">
        <v>83</v>
      </c>
      <c r="CU41" s="4">
        <v>32</v>
      </c>
      <c r="CV41" s="4">
        <v>72</v>
      </c>
      <c r="CW41" s="4">
        <v>79</v>
      </c>
      <c r="CX41" s="4">
        <v>100</v>
      </c>
      <c r="CY41" s="4">
        <v>100</v>
      </c>
      <c r="CZ41" s="4">
        <v>50</v>
      </c>
      <c r="DA41" s="4">
        <v>58</v>
      </c>
      <c r="DB41" s="4">
        <v>63</v>
      </c>
      <c r="DC41" s="4">
        <v>3</v>
      </c>
      <c r="DD41" s="4">
        <v>23</v>
      </c>
      <c r="DE41" s="4">
        <v>36</v>
      </c>
      <c r="DF41" s="4">
        <v>40</v>
      </c>
      <c r="DG41" s="4">
        <v>95</v>
      </c>
      <c r="DH41" s="4">
        <v>8</v>
      </c>
      <c r="DI41" s="4">
        <v>52</v>
      </c>
      <c r="DJ41" s="4">
        <v>50</v>
      </c>
      <c r="DK41" s="4">
        <v>77</v>
      </c>
      <c r="DL41" s="4">
        <v>75</v>
      </c>
      <c r="DM41" s="4">
        <v>59</v>
      </c>
      <c r="DN41" s="4">
        <v>110</v>
      </c>
      <c r="DO41" s="4">
        <v>50</v>
      </c>
      <c r="DP41" s="4">
        <v>95</v>
      </c>
      <c r="DQ41" s="4">
        <v>50</v>
      </c>
      <c r="DR41" s="4">
        <v>88</v>
      </c>
      <c r="DS41" s="4">
        <v>112</v>
      </c>
      <c r="DT41" s="4">
        <v>77</v>
      </c>
      <c r="DU41" s="4">
        <v>69</v>
      </c>
      <c r="DV41" s="4">
        <v>55</v>
      </c>
      <c r="DW41" s="4">
        <v>85</v>
      </c>
      <c r="DX41" s="4">
        <v>40</v>
      </c>
      <c r="DY41" s="4">
        <v>67</v>
      </c>
      <c r="DZ41" s="4">
        <v>85</v>
      </c>
      <c r="EA41" s="4">
        <v>100</v>
      </c>
      <c r="EB41" s="4">
        <v>100</v>
      </c>
      <c r="EC41" s="4">
        <v>46</v>
      </c>
      <c r="ED41" s="4">
        <v>45</v>
      </c>
      <c r="EE41" s="4">
        <v>62</v>
      </c>
      <c r="EF41" s="4">
        <v>3</v>
      </c>
      <c r="EG41" s="4">
        <v>41</v>
      </c>
      <c r="EH41" s="4">
        <v>53</v>
      </c>
      <c r="EI41" s="4">
        <v>52</v>
      </c>
      <c r="EJ41" s="4">
        <v>97</v>
      </c>
      <c r="EK41" s="4">
        <v>12</v>
      </c>
      <c r="EL41" s="4">
        <v>50</v>
      </c>
      <c r="EM41" s="4">
        <v>46</v>
      </c>
      <c r="EN41" s="4">
        <v>69</v>
      </c>
      <c r="EO41" s="4">
        <v>71</v>
      </c>
      <c r="EP41" s="4">
        <v>44</v>
      </c>
      <c r="EQ41" s="4">
        <v>75</v>
      </c>
      <c r="ER41" s="4">
        <v>18</v>
      </c>
      <c r="ES41" s="4">
        <v>90</v>
      </c>
      <c r="ET41" s="4">
        <v>75</v>
      </c>
      <c r="EU41" s="4">
        <v>75</v>
      </c>
      <c r="EV41" s="4">
        <v>98</v>
      </c>
      <c r="EW41" s="4">
        <v>66</v>
      </c>
      <c r="EX41" s="4">
        <v>80</v>
      </c>
      <c r="EY41" s="4">
        <v>79</v>
      </c>
      <c r="EZ41" s="4">
        <v>85</v>
      </c>
      <c r="FA41" s="4">
        <v>12</v>
      </c>
      <c r="FB41" s="4">
        <v>54</v>
      </c>
      <c r="FC41" s="4">
        <v>68</v>
      </c>
      <c r="FD41" s="4">
        <v>100</v>
      </c>
      <c r="FE41" s="4">
        <v>100</v>
      </c>
      <c r="FF41" s="4">
        <v>43</v>
      </c>
      <c r="FG41" s="4">
        <v>42</v>
      </c>
      <c r="FH41" s="4">
        <v>52</v>
      </c>
      <c r="FI41" s="4">
        <v>2</v>
      </c>
      <c r="FJ41" s="4">
        <v>45</v>
      </c>
      <c r="FK41" s="4">
        <v>56</v>
      </c>
      <c r="FL41" s="4">
        <v>52</v>
      </c>
      <c r="FM41" s="4">
        <v>103</v>
      </c>
      <c r="FN41" s="4">
        <v>17</v>
      </c>
      <c r="FO41" s="4">
        <v>47</v>
      </c>
      <c r="FP41" s="4">
        <v>38</v>
      </c>
      <c r="FQ41" s="4">
        <v>63</v>
      </c>
      <c r="FR41" s="4">
        <v>63</v>
      </c>
      <c r="FS41" s="4">
        <v>38</v>
      </c>
      <c r="FT41" s="4">
        <v>72</v>
      </c>
      <c r="FU41" s="4">
        <v>36</v>
      </c>
      <c r="FV41" s="4">
        <v>91</v>
      </c>
      <c r="FW41" s="4">
        <v>80</v>
      </c>
      <c r="FX41" s="4">
        <v>73</v>
      </c>
      <c r="FY41" s="4">
        <v>95</v>
      </c>
      <c r="FZ41" s="4">
        <v>61</v>
      </c>
      <c r="GA41" s="4">
        <v>75</v>
      </c>
      <c r="GB41" s="4">
        <v>81</v>
      </c>
      <c r="GC41" s="4">
        <v>85</v>
      </c>
      <c r="GD41" s="4">
        <v>20</v>
      </c>
      <c r="GE41" s="4">
        <v>45</v>
      </c>
      <c r="GF41" s="4">
        <v>66</v>
      </c>
      <c r="GG41" s="4">
        <v>100</v>
      </c>
      <c r="GH41" s="4">
        <v>100</v>
      </c>
      <c r="GJ41" s="4">
        <v>28</v>
      </c>
      <c r="GK41" s="4">
        <v>2</v>
      </c>
      <c r="GL41" s="4">
        <v>25</v>
      </c>
      <c r="GT41" s="4">
        <v>-95</v>
      </c>
      <c r="GU41" s="4">
        <v>-7</v>
      </c>
    </row>
    <row r="42" spans="1:203" hidden="1" x14ac:dyDescent="0.25">
      <c r="A42" s="12">
        <v>1</v>
      </c>
      <c r="B42" s="12">
        <f>IF('DATOS Y RESPUESTAS'!C14="v",1,0)</f>
        <v>0</v>
      </c>
      <c r="C42" s="6">
        <f>IF('DATOS Y RESPUESTAS'!C14="f",1,0)</f>
        <v>1</v>
      </c>
      <c r="D42" s="12">
        <v>26</v>
      </c>
      <c r="E42" s="12">
        <f>IF('DATOS Y RESPUESTAS'!E14="v",1,0)</f>
        <v>0</v>
      </c>
      <c r="F42" s="6">
        <f>IF('DATOS Y RESPUESTAS'!E14="f",1,0)</f>
        <v>1</v>
      </c>
      <c r="G42" s="6"/>
      <c r="H42" s="12">
        <v>51</v>
      </c>
      <c r="I42" s="12">
        <f>IF('DATOS Y RESPUESTAS'!G14="v",1,0)</f>
        <v>0</v>
      </c>
      <c r="J42" s="6">
        <f>IF('DATOS Y RESPUESTAS'!G14="f",1,0)</f>
        <v>1</v>
      </c>
      <c r="K42" s="12">
        <v>76</v>
      </c>
      <c r="L42" s="12">
        <f>IF('DATOS Y RESPUESTAS'!I14="v",1,0)</f>
        <v>0</v>
      </c>
      <c r="M42" s="6">
        <f>IF('DATOS Y RESPUESTAS'!I14="f",1,0)</f>
        <v>1</v>
      </c>
      <c r="N42" s="12">
        <v>101</v>
      </c>
      <c r="O42" s="12">
        <f>IF('DATOS Y RESPUESTAS'!K14="v",1,0)</f>
        <v>0</v>
      </c>
      <c r="P42" s="6">
        <f>IF('DATOS Y RESPUESTAS'!K14="f",1,0)</f>
        <v>1</v>
      </c>
      <c r="Q42" s="12">
        <v>126</v>
      </c>
      <c r="R42" s="12">
        <f>IF('DATOS Y RESPUESTAS'!M14="v",1,0)</f>
        <v>0</v>
      </c>
      <c r="S42" s="6">
        <f>IF('DATOS Y RESPUESTAS'!M14="f",1,0)</f>
        <v>1</v>
      </c>
      <c r="T42" s="6"/>
      <c r="U42" s="6"/>
      <c r="V42" s="12">
        <v>151</v>
      </c>
      <c r="W42" s="12"/>
      <c r="X42" s="12">
        <f>IF('DATOS Y RESPUESTAS'!O14="v",1,0)</f>
        <v>0</v>
      </c>
      <c r="Y42" s="6">
        <f>IF('DATOS Y RESPUESTAS'!O14="f",1,0)</f>
        <v>1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12"/>
      <c r="BT42" s="12"/>
      <c r="BV42" s="4">
        <v>27</v>
      </c>
      <c r="BW42" s="4">
        <v>54</v>
      </c>
      <c r="BX42" s="4">
        <v>62</v>
      </c>
      <c r="BY42" s="4">
        <v>76</v>
      </c>
      <c r="BZ42" s="4">
        <v>9</v>
      </c>
      <c r="CA42" s="4">
        <v>24</v>
      </c>
      <c r="CB42" s="4">
        <v>34</v>
      </c>
      <c r="CC42" s="4">
        <v>47</v>
      </c>
      <c r="CD42" s="4">
        <v>103</v>
      </c>
      <c r="CE42" s="4">
        <v>14</v>
      </c>
      <c r="CF42" s="4">
        <v>57</v>
      </c>
      <c r="CG42" s="4">
        <v>58</v>
      </c>
      <c r="CH42" s="4">
        <v>85</v>
      </c>
      <c r="CI42" s="4">
        <v>82</v>
      </c>
      <c r="CJ42" s="4">
        <v>61</v>
      </c>
      <c r="CK42" s="4">
        <v>111</v>
      </c>
      <c r="CL42" s="4">
        <v>40</v>
      </c>
      <c r="CM42" s="4">
        <v>105</v>
      </c>
      <c r="CN42" s="4">
        <v>61</v>
      </c>
      <c r="CO42" s="4">
        <v>94</v>
      </c>
      <c r="CP42" s="4">
        <v>114</v>
      </c>
      <c r="CQ42" s="4">
        <v>92</v>
      </c>
      <c r="CR42" s="4">
        <v>82</v>
      </c>
      <c r="CS42" s="4">
        <v>64</v>
      </c>
      <c r="CT42" s="4">
        <v>85</v>
      </c>
      <c r="CU42" s="4">
        <v>36</v>
      </c>
      <c r="CV42" s="4">
        <v>73</v>
      </c>
      <c r="CW42" s="4">
        <v>81</v>
      </c>
      <c r="CX42" s="4">
        <v>100</v>
      </c>
      <c r="CY42" s="4">
        <v>100</v>
      </c>
      <c r="CZ42" s="4">
        <v>51</v>
      </c>
      <c r="DA42" s="4">
        <v>59</v>
      </c>
      <c r="DB42" s="4">
        <v>65</v>
      </c>
      <c r="DC42" s="4">
        <v>4</v>
      </c>
      <c r="DD42" s="4">
        <v>24</v>
      </c>
      <c r="DE42" s="4">
        <v>37</v>
      </c>
      <c r="DF42" s="4">
        <v>42</v>
      </c>
      <c r="DG42" s="4">
        <v>98</v>
      </c>
      <c r="DH42" s="4">
        <v>8</v>
      </c>
      <c r="DI42" s="4">
        <v>54</v>
      </c>
      <c r="DJ42" s="4">
        <v>53</v>
      </c>
      <c r="DK42" s="4">
        <v>84</v>
      </c>
      <c r="DL42" s="4">
        <v>77</v>
      </c>
      <c r="DM42" s="4">
        <v>61</v>
      </c>
      <c r="DN42" s="4">
        <v>110</v>
      </c>
      <c r="DO42" s="4">
        <v>55</v>
      </c>
      <c r="DP42" s="4">
        <v>100</v>
      </c>
      <c r="DQ42" s="4">
        <v>54</v>
      </c>
      <c r="DR42" s="4">
        <v>98</v>
      </c>
      <c r="DS42" s="4">
        <v>112</v>
      </c>
      <c r="DT42" s="4">
        <v>80</v>
      </c>
      <c r="DU42" s="4">
        <v>70</v>
      </c>
      <c r="DV42" s="4">
        <v>59</v>
      </c>
      <c r="DW42" s="4">
        <v>89</v>
      </c>
      <c r="DX42" s="4">
        <v>43</v>
      </c>
      <c r="DY42" s="4">
        <v>70</v>
      </c>
      <c r="DZ42" s="4">
        <v>89</v>
      </c>
      <c r="EA42" s="4">
        <v>100</v>
      </c>
      <c r="EB42" s="4">
        <v>100</v>
      </c>
      <c r="EC42" s="4">
        <v>48</v>
      </c>
      <c r="ED42" s="4">
        <v>46</v>
      </c>
      <c r="EE42" s="4">
        <v>64</v>
      </c>
      <c r="EF42" s="4">
        <v>3</v>
      </c>
      <c r="EG42" s="4">
        <v>42</v>
      </c>
      <c r="EH42" s="4">
        <v>56</v>
      </c>
      <c r="EI42" s="4">
        <v>55</v>
      </c>
      <c r="EJ42" s="4">
        <v>102</v>
      </c>
      <c r="EK42" s="4">
        <v>15</v>
      </c>
      <c r="EL42" s="4">
        <v>51</v>
      </c>
      <c r="EM42" s="4">
        <v>47</v>
      </c>
      <c r="EN42" s="4">
        <v>71</v>
      </c>
      <c r="EO42" s="4">
        <v>73</v>
      </c>
      <c r="EP42" s="4">
        <v>45</v>
      </c>
      <c r="EQ42" s="4">
        <v>79</v>
      </c>
      <c r="ER42" s="4">
        <v>23</v>
      </c>
      <c r="ES42" s="4">
        <v>93</v>
      </c>
      <c r="ET42" s="4">
        <v>79</v>
      </c>
      <c r="EU42" s="4">
        <v>78</v>
      </c>
      <c r="EV42" s="4">
        <v>102</v>
      </c>
      <c r="EW42" s="4">
        <v>68</v>
      </c>
      <c r="EX42" s="4">
        <v>81</v>
      </c>
      <c r="EY42" s="4">
        <v>83</v>
      </c>
      <c r="EZ42" s="4">
        <v>91</v>
      </c>
      <c r="FA42" s="4">
        <v>13</v>
      </c>
      <c r="FB42" s="4">
        <v>55</v>
      </c>
      <c r="FC42" s="4">
        <v>69</v>
      </c>
      <c r="FD42" s="4">
        <v>100</v>
      </c>
      <c r="FE42" s="4">
        <v>100</v>
      </c>
      <c r="FF42" s="4">
        <v>45</v>
      </c>
      <c r="FG42" s="4">
        <v>44</v>
      </c>
      <c r="FH42" s="4">
        <v>54</v>
      </c>
      <c r="FI42" s="4">
        <v>3</v>
      </c>
      <c r="FJ42" s="4">
        <v>46</v>
      </c>
      <c r="FK42" s="4">
        <v>59</v>
      </c>
      <c r="FL42" s="4">
        <v>54</v>
      </c>
      <c r="FM42" s="4">
        <v>105</v>
      </c>
      <c r="FN42" s="4">
        <v>20</v>
      </c>
      <c r="FO42" s="4">
        <v>50</v>
      </c>
      <c r="FP42" s="4">
        <v>40</v>
      </c>
      <c r="FQ42" s="4">
        <v>64</v>
      </c>
      <c r="FR42" s="4">
        <v>65</v>
      </c>
      <c r="FS42" s="4">
        <v>40</v>
      </c>
      <c r="FT42" s="4">
        <v>75</v>
      </c>
      <c r="FU42" s="4">
        <v>40</v>
      </c>
      <c r="FV42" s="4">
        <v>93</v>
      </c>
      <c r="FW42" s="4">
        <v>83</v>
      </c>
      <c r="FX42" s="4">
        <v>75</v>
      </c>
      <c r="FY42" s="4">
        <v>100</v>
      </c>
      <c r="FZ42" s="4">
        <v>62</v>
      </c>
      <c r="GA42" s="4">
        <v>78</v>
      </c>
      <c r="GB42" s="4">
        <v>85</v>
      </c>
      <c r="GC42" s="4">
        <v>92</v>
      </c>
      <c r="GD42" s="4">
        <v>21</v>
      </c>
      <c r="GE42" s="4">
        <v>47</v>
      </c>
      <c r="GF42" s="4">
        <v>67</v>
      </c>
      <c r="GG42" s="4">
        <v>100</v>
      </c>
      <c r="GH42" s="4">
        <v>100</v>
      </c>
      <c r="GJ42" s="4">
        <v>29</v>
      </c>
      <c r="GK42" s="4">
        <v>2</v>
      </c>
      <c r="GL42" s="4">
        <v>25</v>
      </c>
      <c r="GT42" s="4">
        <v>-94</v>
      </c>
      <c r="GU42" s="4">
        <v>-7</v>
      </c>
    </row>
    <row r="43" spans="1:203" hidden="1" x14ac:dyDescent="0.25">
      <c r="A43" s="12">
        <v>2</v>
      </c>
      <c r="B43" s="12">
        <f>IF('DATOS Y RESPUESTAS'!C15="v",1,0)</f>
        <v>1</v>
      </c>
      <c r="C43" s="6">
        <f>IF('DATOS Y RESPUESTAS'!C15="f",1,0)</f>
        <v>0</v>
      </c>
      <c r="D43" s="12">
        <v>27</v>
      </c>
      <c r="E43" s="12">
        <f>IF('DATOS Y RESPUESTAS'!E15="v",1,0)</f>
        <v>0</v>
      </c>
      <c r="F43" s="6">
        <f>IF('DATOS Y RESPUESTAS'!E15="f",1,0)</f>
        <v>1</v>
      </c>
      <c r="G43" s="6"/>
      <c r="H43" s="12">
        <v>52</v>
      </c>
      <c r="I43" s="12">
        <f>IF('DATOS Y RESPUESTAS'!G15="v",1,0)</f>
        <v>0</v>
      </c>
      <c r="J43" s="6">
        <f>IF('DATOS Y RESPUESTAS'!G15="f",1,0)</f>
        <v>1</v>
      </c>
      <c r="K43" s="12">
        <v>77</v>
      </c>
      <c r="L43" s="12">
        <f>IF('DATOS Y RESPUESTAS'!I15="v",1,0)</f>
        <v>1</v>
      </c>
      <c r="M43" s="6">
        <f>IF('DATOS Y RESPUESTAS'!I15="f",1,0)</f>
        <v>0</v>
      </c>
      <c r="N43" s="12">
        <v>102</v>
      </c>
      <c r="O43" s="12">
        <f>IF('DATOS Y RESPUESTAS'!K15="v",1,0)</f>
        <v>0</v>
      </c>
      <c r="P43" s="6">
        <f>IF('DATOS Y RESPUESTAS'!K15="f",1,0)</f>
        <v>1</v>
      </c>
      <c r="Q43" s="12">
        <v>127</v>
      </c>
      <c r="R43" s="12">
        <f>IF('DATOS Y RESPUESTAS'!M15="v",1,0)</f>
        <v>0</v>
      </c>
      <c r="S43" s="6">
        <f>IF('DATOS Y RESPUESTAS'!M15="f",1,0)</f>
        <v>1</v>
      </c>
      <c r="T43" s="6"/>
      <c r="U43" s="6"/>
      <c r="V43" s="12">
        <v>152</v>
      </c>
      <c r="W43" s="12"/>
      <c r="X43" s="12">
        <f>IF('DATOS Y RESPUESTAS'!O15="v",1,0)</f>
        <v>0</v>
      </c>
      <c r="Y43" s="6">
        <f>IF('DATOS Y RESPUESTAS'!O15="f",1,0)</f>
        <v>1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12"/>
      <c r="BT43" s="12"/>
      <c r="BV43" s="4">
        <v>28</v>
      </c>
      <c r="BW43" s="4">
        <v>56</v>
      </c>
      <c r="BX43" s="4">
        <v>63</v>
      </c>
      <c r="BY43" s="4">
        <v>77</v>
      </c>
      <c r="BZ43" s="4">
        <v>10</v>
      </c>
      <c r="CA43" s="4">
        <v>26</v>
      </c>
      <c r="CB43" s="4">
        <v>37</v>
      </c>
      <c r="CC43" s="4">
        <v>48</v>
      </c>
      <c r="CD43" s="4">
        <v>105</v>
      </c>
      <c r="CE43" s="4">
        <v>15</v>
      </c>
      <c r="CF43" s="4">
        <v>60</v>
      </c>
      <c r="CG43" s="4">
        <v>60</v>
      </c>
      <c r="CH43" s="4">
        <v>90</v>
      </c>
      <c r="CI43" s="4">
        <v>85</v>
      </c>
      <c r="CJ43" s="4">
        <v>62</v>
      </c>
      <c r="CK43" s="4">
        <v>111</v>
      </c>
      <c r="CL43" s="4">
        <v>44</v>
      </c>
      <c r="CM43" s="4">
        <v>109</v>
      </c>
      <c r="CN43" s="4">
        <v>65</v>
      </c>
      <c r="CO43" s="4">
        <v>97</v>
      </c>
      <c r="CP43" s="4">
        <v>114</v>
      </c>
      <c r="CQ43" s="4">
        <v>95</v>
      </c>
      <c r="CR43" s="4">
        <v>83</v>
      </c>
      <c r="CS43" s="4">
        <v>68</v>
      </c>
      <c r="CT43" s="4">
        <v>89</v>
      </c>
      <c r="CU43" s="4">
        <v>40</v>
      </c>
      <c r="CV43" s="4">
        <v>74</v>
      </c>
      <c r="CW43" s="4">
        <v>84</v>
      </c>
      <c r="CX43" s="4">
        <v>100</v>
      </c>
      <c r="CY43" s="4">
        <v>100</v>
      </c>
      <c r="CZ43" s="4">
        <v>53</v>
      </c>
      <c r="DA43" s="4">
        <v>60</v>
      </c>
      <c r="DB43" s="4">
        <v>67</v>
      </c>
      <c r="DC43" s="4">
        <v>6</v>
      </c>
      <c r="DD43" s="4">
        <v>27</v>
      </c>
      <c r="DE43" s="4">
        <v>40</v>
      </c>
      <c r="DF43" s="4">
        <v>45</v>
      </c>
      <c r="DG43" s="4">
        <v>105</v>
      </c>
      <c r="DH43" s="4">
        <v>10</v>
      </c>
      <c r="DI43" s="4">
        <v>56</v>
      </c>
      <c r="DJ43" s="4">
        <v>55</v>
      </c>
      <c r="DK43" s="4">
        <v>85</v>
      </c>
      <c r="DL43" s="4">
        <v>83</v>
      </c>
      <c r="DM43" s="4">
        <v>62</v>
      </c>
      <c r="DN43" s="4">
        <v>110</v>
      </c>
      <c r="DO43" s="4">
        <v>59</v>
      </c>
      <c r="DP43" s="4">
        <v>105</v>
      </c>
      <c r="DQ43" s="4">
        <v>60</v>
      </c>
      <c r="DR43" s="4">
        <v>101</v>
      </c>
      <c r="DS43" s="4">
        <v>112</v>
      </c>
      <c r="DT43" s="4">
        <v>85</v>
      </c>
      <c r="DU43" s="4">
        <v>71</v>
      </c>
      <c r="DV43" s="4">
        <v>62</v>
      </c>
      <c r="DW43" s="4">
        <v>96</v>
      </c>
      <c r="DX43" s="4">
        <v>45</v>
      </c>
      <c r="DY43" s="4">
        <v>72</v>
      </c>
      <c r="DZ43" s="4">
        <v>96</v>
      </c>
      <c r="EA43" s="4">
        <v>100</v>
      </c>
      <c r="EB43" s="4">
        <v>100</v>
      </c>
      <c r="EC43" s="4">
        <v>49</v>
      </c>
      <c r="ED43" s="4">
        <v>47</v>
      </c>
      <c r="EE43" s="4">
        <v>66</v>
      </c>
      <c r="EF43" s="4">
        <v>4</v>
      </c>
      <c r="EG43" s="4">
        <v>43</v>
      </c>
      <c r="EH43" s="4">
        <v>59</v>
      </c>
      <c r="EI43" s="4">
        <v>58</v>
      </c>
      <c r="EJ43" s="4">
        <v>104</v>
      </c>
      <c r="EK43" s="4">
        <v>16</v>
      </c>
      <c r="EL43" s="4">
        <v>54</v>
      </c>
      <c r="EM43" s="4">
        <v>48</v>
      </c>
      <c r="EN43" s="4">
        <v>73</v>
      </c>
      <c r="EO43" s="4">
        <v>75</v>
      </c>
      <c r="EP43" s="4">
        <v>46</v>
      </c>
      <c r="EQ43" s="4">
        <v>85</v>
      </c>
      <c r="ER43" s="4">
        <v>28</v>
      </c>
      <c r="ES43" s="4">
        <v>99</v>
      </c>
      <c r="ET43" s="4">
        <v>81</v>
      </c>
      <c r="EU43" s="4">
        <v>81</v>
      </c>
      <c r="EV43" s="4">
        <v>103</v>
      </c>
      <c r="EW43" s="4">
        <v>70</v>
      </c>
      <c r="EX43" s="4">
        <v>82</v>
      </c>
      <c r="EY43" s="4">
        <v>85</v>
      </c>
      <c r="EZ43" s="4">
        <v>95</v>
      </c>
      <c r="FA43" s="4">
        <v>16</v>
      </c>
      <c r="FB43" s="4">
        <v>57</v>
      </c>
      <c r="FC43" s="4">
        <v>70</v>
      </c>
      <c r="FD43" s="4">
        <v>100</v>
      </c>
      <c r="FE43" s="4">
        <v>100</v>
      </c>
      <c r="FF43" s="4">
        <v>46</v>
      </c>
      <c r="FG43" s="4">
        <v>46</v>
      </c>
      <c r="FH43" s="4">
        <v>57</v>
      </c>
      <c r="FI43" s="4">
        <v>3</v>
      </c>
      <c r="FJ43" s="4">
        <v>47</v>
      </c>
      <c r="FK43" s="4">
        <v>62</v>
      </c>
      <c r="FL43" s="4">
        <v>57</v>
      </c>
      <c r="FM43" s="4">
        <v>106</v>
      </c>
      <c r="FN43" s="4">
        <v>21</v>
      </c>
      <c r="FO43" s="4">
        <v>53</v>
      </c>
      <c r="FP43" s="4">
        <v>41</v>
      </c>
      <c r="FQ43" s="4">
        <v>69</v>
      </c>
      <c r="FR43" s="4">
        <v>68</v>
      </c>
      <c r="FS43" s="4">
        <v>41</v>
      </c>
      <c r="FT43" s="4">
        <v>85</v>
      </c>
      <c r="FU43" s="4">
        <v>42</v>
      </c>
      <c r="FV43" s="4">
        <v>99</v>
      </c>
      <c r="FW43" s="4">
        <v>85</v>
      </c>
      <c r="FX43" s="4">
        <v>80</v>
      </c>
      <c r="FY43" s="4">
        <v>102</v>
      </c>
      <c r="FZ43" s="4">
        <v>63</v>
      </c>
      <c r="GA43" s="4">
        <v>80</v>
      </c>
      <c r="GB43" s="4">
        <v>92</v>
      </c>
      <c r="GC43" s="4">
        <v>97</v>
      </c>
      <c r="GD43" s="4">
        <v>22</v>
      </c>
      <c r="GE43" s="4">
        <v>48</v>
      </c>
      <c r="GF43" s="4">
        <v>69</v>
      </c>
      <c r="GG43" s="4">
        <v>100</v>
      </c>
      <c r="GH43" s="4">
        <v>100</v>
      </c>
      <c r="GJ43" s="4">
        <v>30</v>
      </c>
      <c r="GK43" s="4">
        <v>2</v>
      </c>
      <c r="GL43" s="4">
        <v>25</v>
      </c>
      <c r="GT43" s="4">
        <v>-93</v>
      </c>
      <c r="GU43" s="4">
        <v>-7</v>
      </c>
    </row>
    <row r="44" spans="1:203" hidden="1" x14ac:dyDescent="0.25">
      <c r="A44" s="12">
        <v>3</v>
      </c>
      <c r="B44" s="12">
        <f>IF('DATOS Y RESPUESTAS'!C16="v",1,0)</f>
        <v>0</v>
      </c>
      <c r="C44" s="6">
        <f>IF('DATOS Y RESPUESTAS'!C16="f",1,0)</f>
        <v>1</v>
      </c>
      <c r="D44" s="12">
        <v>28</v>
      </c>
      <c r="E44" s="12">
        <f>IF('DATOS Y RESPUESTAS'!E16="v",1,0)</f>
        <v>0</v>
      </c>
      <c r="F44" s="6">
        <f>IF('DATOS Y RESPUESTAS'!E16="f",1,0)</f>
        <v>1</v>
      </c>
      <c r="G44" s="6"/>
      <c r="H44" s="12">
        <v>53</v>
      </c>
      <c r="I44" s="12">
        <f>IF('DATOS Y RESPUESTAS'!G16="v",1,0)</f>
        <v>0</v>
      </c>
      <c r="J44" s="6">
        <f>IF('DATOS Y RESPUESTAS'!G16="f",1,0)</f>
        <v>1</v>
      </c>
      <c r="K44" s="12">
        <v>78</v>
      </c>
      <c r="L44" s="12">
        <f>IF('DATOS Y RESPUESTAS'!I16="v",1,0)</f>
        <v>0</v>
      </c>
      <c r="M44" s="6">
        <f>IF('DATOS Y RESPUESTAS'!I16="f",1,0)</f>
        <v>1</v>
      </c>
      <c r="N44" s="12">
        <v>103</v>
      </c>
      <c r="O44" s="12">
        <f>IF('DATOS Y RESPUESTAS'!K16="v",1,0)</f>
        <v>0</v>
      </c>
      <c r="P44" s="6">
        <f>IF('DATOS Y RESPUESTAS'!K16="f",1,0)</f>
        <v>1</v>
      </c>
      <c r="Q44" s="12">
        <v>128</v>
      </c>
      <c r="R44" s="12">
        <f>IF('DATOS Y RESPUESTAS'!M16="v",1,0)</f>
        <v>0</v>
      </c>
      <c r="S44" s="6">
        <f>IF('DATOS Y RESPUESTAS'!M16="f",1,0)</f>
        <v>1</v>
      </c>
      <c r="T44" s="6"/>
      <c r="U44" s="6"/>
      <c r="V44" s="12">
        <v>153</v>
      </c>
      <c r="W44" s="12"/>
      <c r="X44" s="12">
        <f>IF('DATOS Y RESPUESTAS'!O16="v",1,0)</f>
        <v>0</v>
      </c>
      <c r="Y44" s="6">
        <f>IF('DATOS Y RESPUESTAS'!O16="f",1,0)</f>
        <v>1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12"/>
      <c r="BT44" s="12"/>
      <c r="BV44" s="4">
        <v>29</v>
      </c>
      <c r="BW44" s="4">
        <v>59</v>
      </c>
      <c r="BX44" s="4">
        <v>65</v>
      </c>
      <c r="BY44" s="4">
        <v>78</v>
      </c>
      <c r="BZ44" s="4">
        <v>11</v>
      </c>
      <c r="CA44" s="4">
        <v>28</v>
      </c>
      <c r="CB44" s="4">
        <v>40</v>
      </c>
      <c r="CC44" s="4">
        <v>49</v>
      </c>
      <c r="CD44" s="4">
        <v>105</v>
      </c>
      <c r="CE44" s="4">
        <v>18</v>
      </c>
      <c r="CF44" s="4">
        <v>63</v>
      </c>
      <c r="CG44" s="4">
        <v>62</v>
      </c>
      <c r="CH44" s="4">
        <v>97</v>
      </c>
      <c r="CI44" s="4">
        <v>91</v>
      </c>
      <c r="CJ44" s="4">
        <v>65</v>
      </c>
      <c r="CK44" s="4">
        <v>114</v>
      </c>
      <c r="CL44" s="4">
        <v>48</v>
      </c>
      <c r="CM44" s="4">
        <v>111</v>
      </c>
      <c r="CN44" s="4">
        <v>69</v>
      </c>
      <c r="CO44" s="4">
        <v>102</v>
      </c>
      <c r="CP44" s="4">
        <v>114</v>
      </c>
      <c r="CQ44" s="4">
        <v>95</v>
      </c>
      <c r="CR44" s="4">
        <v>84</v>
      </c>
      <c r="CS44" s="4">
        <v>72</v>
      </c>
      <c r="CT44" s="4">
        <v>93</v>
      </c>
      <c r="CU44" s="4">
        <v>43</v>
      </c>
      <c r="CV44" s="4">
        <v>75</v>
      </c>
      <c r="CW44" s="4">
        <v>85</v>
      </c>
      <c r="CX44" s="4">
        <v>100</v>
      </c>
      <c r="CY44" s="4">
        <v>100</v>
      </c>
      <c r="CZ44" s="4">
        <v>57</v>
      </c>
      <c r="DA44" s="4">
        <v>63</v>
      </c>
      <c r="DB44" s="4">
        <v>71</v>
      </c>
      <c r="DC44" s="4">
        <v>8</v>
      </c>
      <c r="DD44" s="4">
        <v>29</v>
      </c>
      <c r="DE44" s="4">
        <v>41</v>
      </c>
      <c r="DF44" s="4">
        <v>46</v>
      </c>
      <c r="DG44" s="4">
        <v>110</v>
      </c>
      <c r="DH44" s="4">
        <v>13</v>
      </c>
      <c r="DI44" s="4">
        <v>57</v>
      </c>
      <c r="DJ44" s="4">
        <v>56</v>
      </c>
      <c r="DK44" s="4">
        <v>88</v>
      </c>
      <c r="DL44" s="4">
        <v>85</v>
      </c>
      <c r="DM44" s="4">
        <v>63</v>
      </c>
      <c r="DN44" s="4">
        <v>113</v>
      </c>
      <c r="DO44" s="4">
        <v>63</v>
      </c>
      <c r="DP44" s="4">
        <v>108</v>
      </c>
      <c r="DQ44" s="4">
        <v>64</v>
      </c>
      <c r="DR44" s="4">
        <v>105</v>
      </c>
      <c r="DS44" s="4">
        <v>112</v>
      </c>
      <c r="DT44" s="4">
        <v>98</v>
      </c>
      <c r="DU44" s="4">
        <v>72</v>
      </c>
      <c r="DV44" s="4">
        <v>64</v>
      </c>
      <c r="DW44" s="4">
        <v>106</v>
      </c>
      <c r="DX44" s="4">
        <v>48</v>
      </c>
      <c r="DY44" s="4">
        <v>73</v>
      </c>
      <c r="DZ44" s="4">
        <v>96</v>
      </c>
      <c r="EA44" s="4">
        <v>100</v>
      </c>
      <c r="EB44" s="4">
        <v>100</v>
      </c>
      <c r="EC44" s="4">
        <v>50</v>
      </c>
      <c r="ED44" s="4">
        <v>48</v>
      </c>
      <c r="EE44" s="4">
        <v>68</v>
      </c>
      <c r="EF44" s="4">
        <v>5</v>
      </c>
      <c r="EG44" s="4">
        <v>46</v>
      </c>
      <c r="EH44" s="4">
        <v>61</v>
      </c>
      <c r="EI44" s="4">
        <v>59</v>
      </c>
      <c r="EJ44" s="4">
        <v>106</v>
      </c>
      <c r="EK44" s="4">
        <v>17</v>
      </c>
      <c r="EL44" s="4">
        <v>56</v>
      </c>
      <c r="EM44" s="4">
        <v>49</v>
      </c>
      <c r="EN44" s="4">
        <v>75</v>
      </c>
      <c r="EO44" s="4">
        <v>80</v>
      </c>
      <c r="EP44" s="4">
        <v>47</v>
      </c>
      <c r="EQ44" s="4">
        <v>98</v>
      </c>
      <c r="ER44" s="4">
        <v>34</v>
      </c>
      <c r="ES44" s="4">
        <v>105</v>
      </c>
      <c r="ET44" s="4">
        <v>83</v>
      </c>
      <c r="EU44" s="4">
        <v>85</v>
      </c>
      <c r="EV44" s="4">
        <v>105</v>
      </c>
      <c r="EW44" s="4">
        <v>72</v>
      </c>
      <c r="EX44" s="4">
        <v>83</v>
      </c>
      <c r="EY44" s="4">
        <v>90</v>
      </c>
      <c r="EZ44" s="4">
        <v>101</v>
      </c>
      <c r="FA44" s="4">
        <v>19</v>
      </c>
      <c r="FB44" s="4">
        <v>58</v>
      </c>
      <c r="FC44" s="4">
        <v>71</v>
      </c>
      <c r="FD44" s="4">
        <v>100</v>
      </c>
      <c r="FE44" s="4">
        <v>100</v>
      </c>
      <c r="FF44" s="4">
        <v>48</v>
      </c>
      <c r="FG44" s="4">
        <v>47</v>
      </c>
      <c r="FH44" s="4">
        <v>59</v>
      </c>
      <c r="FI44" s="4">
        <v>4</v>
      </c>
      <c r="FJ44" s="4">
        <v>48</v>
      </c>
      <c r="FK44" s="4">
        <v>64</v>
      </c>
      <c r="FL44" s="4">
        <v>59</v>
      </c>
      <c r="FM44" s="4">
        <v>108</v>
      </c>
      <c r="FN44" s="4">
        <v>23</v>
      </c>
      <c r="FO44" s="4">
        <v>55</v>
      </c>
      <c r="FP44" s="4">
        <v>42</v>
      </c>
      <c r="FQ44" s="4">
        <v>72</v>
      </c>
      <c r="FR44" s="4">
        <v>71</v>
      </c>
      <c r="FS44" s="4">
        <v>42</v>
      </c>
      <c r="FT44" s="4">
        <v>97</v>
      </c>
      <c r="FU44" s="4">
        <v>44</v>
      </c>
      <c r="FV44" s="4">
        <v>105</v>
      </c>
      <c r="FW44" s="4">
        <v>92</v>
      </c>
      <c r="FX44" s="4">
        <v>83</v>
      </c>
      <c r="FY44" s="4">
        <v>105</v>
      </c>
      <c r="FZ44" s="4">
        <v>66</v>
      </c>
      <c r="GA44" s="4">
        <v>80</v>
      </c>
      <c r="GB44" s="4">
        <v>102</v>
      </c>
      <c r="GC44" s="4">
        <v>104</v>
      </c>
      <c r="GD44" s="4">
        <v>24</v>
      </c>
      <c r="GE44" s="4">
        <v>49</v>
      </c>
      <c r="GF44" s="4">
        <v>70</v>
      </c>
      <c r="GG44" s="4">
        <v>100</v>
      </c>
      <c r="GH44" s="4">
        <v>100</v>
      </c>
      <c r="GJ44" s="4">
        <v>31</v>
      </c>
      <c r="GK44" s="4">
        <v>2</v>
      </c>
      <c r="GL44" s="4">
        <v>25</v>
      </c>
      <c r="GT44" s="4">
        <v>-92</v>
      </c>
      <c r="GU44" s="4">
        <v>-7</v>
      </c>
    </row>
    <row r="45" spans="1:203" hidden="1" x14ac:dyDescent="0.25">
      <c r="A45" s="12">
        <v>4</v>
      </c>
      <c r="B45" s="12">
        <f>IF('DATOS Y RESPUESTAS'!C17="v",1,0)</f>
        <v>1</v>
      </c>
      <c r="C45" s="6">
        <f>IF('DATOS Y RESPUESTAS'!C17="f",1,0)</f>
        <v>0</v>
      </c>
      <c r="D45" s="12">
        <v>29</v>
      </c>
      <c r="E45" s="12">
        <f>IF('DATOS Y RESPUESTAS'!E17="v",1,0)</f>
        <v>0</v>
      </c>
      <c r="F45" s="6">
        <f>IF('DATOS Y RESPUESTAS'!E17="f",1,0)</f>
        <v>1</v>
      </c>
      <c r="G45" s="6"/>
      <c r="H45" s="12">
        <v>54</v>
      </c>
      <c r="I45" s="12">
        <f>IF('DATOS Y RESPUESTAS'!G17="v",1,0)</f>
        <v>1</v>
      </c>
      <c r="J45" s="6">
        <f>IF('DATOS Y RESPUESTAS'!G17="f",1,0)</f>
        <v>0</v>
      </c>
      <c r="K45" s="12">
        <v>79</v>
      </c>
      <c r="L45" s="12">
        <f>IF('DATOS Y RESPUESTAS'!I17="v",1,0)</f>
        <v>0</v>
      </c>
      <c r="M45" s="6">
        <f>IF('DATOS Y RESPUESTAS'!I17="f",1,0)</f>
        <v>1</v>
      </c>
      <c r="N45" s="12">
        <v>104</v>
      </c>
      <c r="O45" s="12">
        <f>IF('DATOS Y RESPUESTAS'!K17="v",1,0)</f>
        <v>0</v>
      </c>
      <c r="P45" s="6">
        <f>IF('DATOS Y RESPUESTAS'!K17="f",1,0)</f>
        <v>1</v>
      </c>
      <c r="Q45" s="12">
        <v>129</v>
      </c>
      <c r="R45" s="12">
        <f>IF('DATOS Y RESPUESTAS'!M17="v",1,0)</f>
        <v>1</v>
      </c>
      <c r="S45" s="6">
        <f>IF('DATOS Y RESPUESTAS'!M17="f",1,0)</f>
        <v>0</v>
      </c>
      <c r="T45" s="6"/>
      <c r="U45" s="6"/>
      <c r="V45" s="12">
        <v>154</v>
      </c>
      <c r="W45" s="12"/>
      <c r="X45" s="12">
        <f>IF('DATOS Y RESPUESTAS'!O17="v",1,0)</f>
        <v>0</v>
      </c>
      <c r="Y45" s="6">
        <f>IF('DATOS Y RESPUESTAS'!O17="f",1,0)</f>
        <v>1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12"/>
      <c r="BT45" s="12"/>
      <c r="BV45" s="4">
        <v>30</v>
      </c>
      <c r="BW45" s="4">
        <v>62</v>
      </c>
      <c r="BX45" s="4">
        <v>69</v>
      </c>
      <c r="BY45" s="4">
        <v>79</v>
      </c>
      <c r="BZ45" s="4">
        <v>13</v>
      </c>
      <c r="CA45" s="4">
        <v>31</v>
      </c>
      <c r="CB45" s="4">
        <v>43</v>
      </c>
      <c r="CC45" s="4">
        <v>50</v>
      </c>
      <c r="CD45" s="4">
        <v>106</v>
      </c>
      <c r="CE45" s="4">
        <v>20</v>
      </c>
      <c r="CF45" s="4">
        <v>64</v>
      </c>
      <c r="CG45" s="4">
        <v>63</v>
      </c>
      <c r="CH45" s="4">
        <v>99</v>
      </c>
      <c r="CI45" s="4">
        <v>95</v>
      </c>
      <c r="CJ45" s="4">
        <v>67</v>
      </c>
      <c r="CK45" s="4">
        <v>115</v>
      </c>
      <c r="CL45" s="4">
        <v>50</v>
      </c>
      <c r="CM45" s="4">
        <v>112</v>
      </c>
      <c r="CN45" s="4">
        <v>71</v>
      </c>
      <c r="CO45" s="4">
        <v>105</v>
      </c>
      <c r="CP45" s="4">
        <v>115</v>
      </c>
      <c r="CQ45" s="4">
        <v>95</v>
      </c>
      <c r="CR45" s="4">
        <v>84</v>
      </c>
      <c r="CS45" s="4">
        <v>74</v>
      </c>
      <c r="CT45" s="4">
        <v>103</v>
      </c>
      <c r="CU45" s="4">
        <v>47</v>
      </c>
      <c r="CV45" s="4">
        <v>76</v>
      </c>
      <c r="CW45" s="4">
        <v>90</v>
      </c>
      <c r="CX45" s="4">
        <v>100</v>
      </c>
      <c r="CY45" s="4">
        <v>100</v>
      </c>
      <c r="CZ45" s="4">
        <v>60</v>
      </c>
      <c r="DA45" s="4">
        <v>63</v>
      </c>
      <c r="DB45" s="4">
        <v>75</v>
      </c>
      <c r="DC45" s="4">
        <v>8</v>
      </c>
      <c r="DD45" s="4">
        <v>30</v>
      </c>
      <c r="DE45" s="4">
        <v>43</v>
      </c>
      <c r="DF45" s="4">
        <v>47</v>
      </c>
      <c r="DG45" s="4">
        <v>110</v>
      </c>
      <c r="DH45" s="4">
        <v>20</v>
      </c>
      <c r="DI45" s="4">
        <v>59</v>
      </c>
      <c r="DJ45" s="4">
        <v>58</v>
      </c>
      <c r="DK45" s="4">
        <v>95</v>
      </c>
      <c r="DL45" s="4">
        <v>91</v>
      </c>
      <c r="DM45" s="4">
        <v>64</v>
      </c>
      <c r="DN45" s="4">
        <v>115</v>
      </c>
      <c r="DO45" s="4">
        <v>65</v>
      </c>
      <c r="DP45" s="4">
        <v>113</v>
      </c>
      <c r="DQ45" s="4">
        <v>65</v>
      </c>
      <c r="DR45" s="4">
        <v>105</v>
      </c>
      <c r="DS45" s="4">
        <v>112</v>
      </c>
      <c r="DT45" s="4">
        <v>102</v>
      </c>
      <c r="DU45" s="4">
        <v>75</v>
      </c>
      <c r="DV45" s="4">
        <v>66</v>
      </c>
      <c r="DW45" s="4">
        <v>106</v>
      </c>
      <c r="DX45" s="4">
        <v>50</v>
      </c>
      <c r="DY45" s="4">
        <v>73</v>
      </c>
      <c r="DZ45" s="4">
        <v>96</v>
      </c>
      <c r="EA45" s="4">
        <v>100</v>
      </c>
      <c r="EB45" s="4">
        <v>100</v>
      </c>
      <c r="EC45" s="4">
        <v>53</v>
      </c>
      <c r="ED45" s="4">
        <v>49</v>
      </c>
      <c r="EE45" s="4">
        <v>69</v>
      </c>
      <c r="EF45" s="4">
        <v>6</v>
      </c>
      <c r="EG45" s="4">
        <v>48</v>
      </c>
      <c r="EH45" s="4">
        <v>64</v>
      </c>
      <c r="EI45" s="4">
        <v>63</v>
      </c>
      <c r="EJ45" s="4">
        <v>107</v>
      </c>
      <c r="EK45" s="4">
        <v>20</v>
      </c>
      <c r="EL45" s="4">
        <v>57</v>
      </c>
      <c r="EM45" s="4">
        <v>49</v>
      </c>
      <c r="EN45" s="4">
        <v>79</v>
      </c>
      <c r="EO45" s="4">
        <v>85</v>
      </c>
      <c r="EP45" s="4">
        <v>48</v>
      </c>
      <c r="EQ45" s="4">
        <v>109</v>
      </c>
      <c r="ER45" s="4">
        <v>40</v>
      </c>
      <c r="ES45" s="4">
        <v>110</v>
      </c>
      <c r="ET45" s="4">
        <v>85</v>
      </c>
      <c r="EU45" s="4">
        <v>95</v>
      </c>
      <c r="EV45" s="4">
        <v>106</v>
      </c>
      <c r="EW45" s="4">
        <v>73</v>
      </c>
      <c r="EX45" s="4">
        <v>84</v>
      </c>
      <c r="EY45" s="4">
        <v>92</v>
      </c>
      <c r="EZ45" s="4">
        <v>109</v>
      </c>
      <c r="FA45" s="4">
        <v>22</v>
      </c>
      <c r="FB45" s="4">
        <v>59</v>
      </c>
      <c r="FC45" s="4">
        <v>73</v>
      </c>
      <c r="FD45" s="4">
        <v>100</v>
      </c>
      <c r="FE45" s="4">
        <v>100</v>
      </c>
      <c r="FF45" s="4">
        <v>49</v>
      </c>
      <c r="FG45" s="4">
        <v>48</v>
      </c>
      <c r="FH45" s="4">
        <v>61</v>
      </c>
      <c r="FI45" s="4">
        <v>5</v>
      </c>
      <c r="FJ45" s="4">
        <v>49</v>
      </c>
      <c r="FK45" s="4">
        <v>67</v>
      </c>
      <c r="FL45" s="4">
        <v>60</v>
      </c>
      <c r="FM45" s="4">
        <v>108</v>
      </c>
      <c r="FN45" s="4">
        <v>24</v>
      </c>
      <c r="FO45" s="4">
        <v>57</v>
      </c>
      <c r="FP45" s="4">
        <v>43</v>
      </c>
      <c r="FQ45" s="4">
        <v>75</v>
      </c>
      <c r="FR45" s="4">
        <v>75</v>
      </c>
      <c r="FS45" s="4">
        <v>43</v>
      </c>
      <c r="FT45" s="4">
        <v>108</v>
      </c>
      <c r="FU45" s="4">
        <v>47</v>
      </c>
      <c r="FV45" s="4">
        <v>108</v>
      </c>
      <c r="FW45" s="4">
        <v>94</v>
      </c>
      <c r="FX45" s="4">
        <v>85</v>
      </c>
      <c r="FY45" s="4">
        <v>106</v>
      </c>
      <c r="FZ45" s="4">
        <v>67</v>
      </c>
      <c r="GA45" s="4">
        <v>83</v>
      </c>
      <c r="GB45" s="4">
        <v>105</v>
      </c>
      <c r="GC45" s="4">
        <v>105</v>
      </c>
      <c r="GD45" s="4">
        <v>28</v>
      </c>
      <c r="GE45" s="4">
        <v>50</v>
      </c>
      <c r="GF45" s="4">
        <v>71</v>
      </c>
      <c r="GG45" s="4">
        <v>100</v>
      </c>
      <c r="GH45" s="4">
        <v>100</v>
      </c>
      <c r="GJ45" s="4">
        <v>32</v>
      </c>
      <c r="GK45" s="4">
        <v>2</v>
      </c>
      <c r="GL45" s="4">
        <v>25</v>
      </c>
      <c r="GT45" s="4">
        <v>-91</v>
      </c>
      <c r="GU45" s="4">
        <v>-7</v>
      </c>
    </row>
    <row r="46" spans="1:203" hidden="1" x14ac:dyDescent="0.25">
      <c r="A46" s="12">
        <v>5</v>
      </c>
      <c r="B46" s="12">
        <f>IF('DATOS Y RESPUESTAS'!C18="v",1,0)</f>
        <v>0</v>
      </c>
      <c r="C46" s="6">
        <f>IF('DATOS Y RESPUESTAS'!C18="f",1,0)</f>
        <v>1</v>
      </c>
      <c r="D46" s="12">
        <v>30</v>
      </c>
      <c r="E46" s="12">
        <f>IF('DATOS Y RESPUESTAS'!E18="v",1,0)</f>
        <v>0</v>
      </c>
      <c r="F46" s="6">
        <f>IF('DATOS Y RESPUESTAS'!E18="f",1,0)</f>
        <v>1</v>
      </c>
      <c r="G46" s="6"/>
      <c r="H46" s="12">
        <v>55</v>
      </c>
      <c r="I46" s="12">
        <f>IF('DATOS Y RESPUESTAS'!G18="v",1,0)</f>
        <v>0</v>
      </c>
      <c r="J46" s="6">
        <f>IF('DATOS Y RESPUESTAS'!G18="f",1,0)</f>
        <v>1</v>
      </c>
      <c r="K46" s="12">
        <v>80</v>
      </c>
      <c r="L46" s="12">
        <f>IF('DATOS Y RESPUESTAS'!I18="v",1,0)</f>
        <v>0</v>
      </c>
      <c r="M46" s="6">
        <f>IF('DATOS Y RESPUESTAS'!I18="f",1,0)</f>
        <v>1</v>
      </c>
      <c r="N46" s="12">
        <v>105</v>
      </c>
      <c r="O46" s="12">
        <f>IF('DATOS Y RESPUESTAS'!K18="v",1,0)</f>
        <v>0</v>
      </c>
      <c r="P46" s="6">
        <f>IF('DATOS Y RESPUESTAS'!K18="f",1,0)</f>
        <v>1</v>
      </c>
      <c r="Q46" s="12">
        <v>130</v>
      </c>
      <c r="R46" s="12">
        <f>IF('DATOS Y RESPUESTAS'!M18="v",1,0)</f>
        <v>0</v>
      </c>
      <c r="S46" s="6">
        <f>IF('DATOS Y RESPUESTAS'!M18="f",1,0)</f>
        <v>1</v>
      </c>
      <c r="T46" s="6"/>
      <c r="U46" s="6"/>
      <c r="V46" s="12">
        <v>155</v>
      </c>
      <c r="W46" s="12"/>
      <c r="X46" s="12">
        <f>IF('DATOS Y RESPUESTAS'!O18="v",1,0)</f>
        <v>0</v>
      </c>
      <c r="Y46" s="6">
        <f>IF('DATOS Y RESPUESTAS'!O18="f",1,0)</f>
        <v>1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12"/>
      <c r="BT46" s="12"/>
      <c r="BV46" s="4">
        <v>31</v>
      </c>
      <c r="BW46" s="4">
        <v>64</v>
      </c>
      <c r="BX46" s="4">
        <v>70</v>
      </c>
      <c r="BY46" s="4">
        <v>80</v>
      </c>
      <c r="BZ46" s="4">
        <v>14</v>
      </c>
      <c r="CA46" s="4">
        <v>34</v>
      </c>
      <c r="CB46" s="4">
        <v>45</v>
      </c>
      <c r="CC46" s="4">
        <v>52</v>
      </c>
      <c r="CD46" s="4">
        <v>106</v>
      </c>
      <c r="CE46" s="4">
        <v>21</v>
      </c>
      <c r="CF46" s="4">
        <v>66</v>
      </c>
      <c r="CG46" s="4">
        <v>64</v>
      </c>
      <c r="CH46" s="4">
        <v>102</v>
      </c>
      <c r="CI46" s="4">
        <v>99</v>
      </c>
      <c r="CJ46" s="4">
        <v>68</v>
      </c>
      <c r="CK46" s="4">
        <v>115</v>
      </c>
      <c r="CL46" s="4">
        <v>54</v>
      </c>
      <c r="CM46" s="4">
        <v>112</v>
      </c>
      <c r="CN46" s="4">
        <v>73</v>
      </c>
      <c r="CO46" s="4">
        <v>108</v>
      </c>
      <c r="CP46" s="4">
        <v>115</v>
      </c>
      <c r="CQ46" s="4">
        <v>97</v>
      </c>
      <c r="CR46" s="4">
        <v>85</v>
      </c>
      <c r="CS46" s="4">
        <v>75</v>
      </c>
      <c r="CT46" s="4">
        <v>107</v>
      </c>
      <c r="CU46" s="4">
        <v>50</v>
      </c>
      <c r="CV46" s="4">
        <v>78</v>
      </c>
      <c r="CW46" s="4">
        <v>92</v>
      </c>
      <c r="CX46" s="4">
        <v>100</v>
      </c>
      <c r="CY46" s="4">
        <v>100</v>
      </c>
      <c r="CZ46" s="4">
        <v>64</v>
      </c>
      <c r="DA46" s="4">
        <v>66</v>
      </c>
      <c r="DB46" s="4">
        <v>77</v>
      </c>
      <c r="DC46" s="4">
        <v>11</v>
      </c>
      <c r="DD46" s="4">
        <v>33</v>
      </c>
      <c r="DE46" s="4">
        <v>45</v>
      </c>
      <c r="DF46" s="4">
        <v>48</v>
      </c>
      <c r="DG46" s="4">
        <v>110</v>
      </c>
      <c r="DH46" s="4">
        <v>23</v>
      </c>
      <c r="DI46" s="4">
        <v>63</v>
      </c>
      <c r="DJ46" s="4">
        <v>60</v>
      </c>
      <c r="DK46" s="4">
        <v>98</v>
      </c>
      <c r="DL46" s="4">
        <v>96</v>
      </c>
      <c r="DM46" s="4">
        <v>65</v>
      </c>
      <c r="DN46" s="4">
        <v>115</v>
      </c>
      <c r="DO46" s="4">
        <v>68</v>
      </c>
      <c r="DP46" s="4">
        <v>115</v>
      </c>
      <c r="DQ46" s="4">
        <v>69</v>
      </c>
      <c r="DR46" s="4">
        <v>105</v>
      </c>
      <c r="DS46" s="4">
        <v>112</v>
      </c>
      <c r="DT46" s="4">
        <v>106</v>
      </c>
      <c r="DU46" s="4">
        <v>80</v>
      </c>
      <c r="DV46" s="4">
        <v>71</v>
      </c>
      <c r="DW46" s="4">
        <v>106</v>
      </c>
      <c r="DX46" s="4">
        <v>53</v>
      </c>
      <c r="DY46" s="4">
        <v>74</v>
      </c>
      <c r="DZ46" s="4">
        <v>96</v>
      </c>
      <c r="EA46" s="4">
        <v>100</v>
      </c>
      <c r="EB46" s="4">
        <v>100</v>
      </c>
      <c r="EC46" s="4">
        <v>55</v>
      </c>
      <c r="ED46" s="4">
        <v>50</v>
      </c>
      <c r="EE46" s="4">
        <v>71</v>
      </c>
      <c r="EF46" s="4">
        <v>6</v>
      </c>
      <c r="EG46" s="4">
        <v>50</v>
      </c>
      <c r="EH46" s="4">
        <v>67</v>
      </c>
      <c r="EI46" s="4">
        <v>65</v>
      </c>
      <c r="EJ46" s="4">
        <v>109</v>
      </c>
      <c r="EK46" s="4">
        <v>21</v>
      </c>
      <c r="EL46" s="4">
        <v>58</v>
      </c>
      <c r="EM46" s="4">
        <v>50</v>
      </c>
      <c r="EN46" s="4">
        <v>82</v>
      </c>
      <c r="EO46" s="4">
        <v>94</v>
      </c>
      <c r="EP46" s="4">
        <v>49</v>
      </c>
      <c r="EQ46" s="4">
        <v>113</v>
      </c>
      <c r="ER46" s="4">
        <v>43</v>
      </c>
      <c r="ES46" s="4">
        <v>114</v>
      </c>
      <c r="ET46" s="4">
        <v>92</v>
      </c>
      <c r="EU46" s="4">
        <v>97</v>
      </c>
      <c r="EV46" s="4">
        <v>111</v>
      </c>
      <c r="EW46" s="4">
        <v>75</v>
      </c>
      <c r="EX46" s="4">
        <v>85</v>
      </c>
      <c r="EY46" s="4">
        <v>99</v>
      </c>
      <c r="EZ46" s="4">
        <v>110</v>
      </c>
      <c r="FA46" s="4">
        <v>25</v>
      </c>
      <c r="FB46" s="4">
        <v>60</v>
      </c>
      <c r="FC46" s="4">
        <v>74</v>
      </c>
      <c r="FD46" s="4">
        <v>100</v>
      </c>
      <c r="FE46" s="4">
        <v>100</v>
      </c>
      <c r="FF46" s="4">
        <v>50</v>
      </c>
      <c r="FG46" s="4">
        <v>49</v>
      </c>
      <c r="FH46" s="4">
        <v>62</v>
      </c>
      <c r="FI46" s="4">
        <v>5</v>
      </c>
      <c r="FJ46" s="4">
        <v>50</v>
      </c>
      <c r="FK46" s="4">
        <v>70</v>
      </c>
      <c r="FL46" s="4">
        <v>61</v>
      </c>
      <c r="FM46" s="4">
        <v>109</v>
      </c>
      <c r="FN46" s="4">
        <v>25</v>
      </c>
      <c r="FO46" s="4">
        <v>58</v>
      </c>
      <c r="FP46" s="4">
        <v>44</v>
      </c>
      <c r="FQ46" s="4">
        <v>80</v>
      </c>
      <c r="FR46" s="4">
        <v>79</v>
      </c>
      <c r="FS46" s="4">
        <v>44</v>
      </c>
      <c r="FT46" s="4">
        <v>114</v>
      </c>
      <c r="FU46" s="4">
        <v>50</v>
      </c>
      <c r="FV46" s="4">
        <v>112</v>
      </c>
      <c r="FW46" s="4">
        <v>96</v>
      </c>
      <c r="FX46" s="4">
        <v>92</v>
      </c>
      <c r="FY46" s="4">
        <v>109</v>
      </c>
      <c r="FZ46" s="4">
        <v>68</v>
      </c>
      <c r="GA46" s="4">
        <v>84</v>
      </c>
      <c r="GB46" s="4">
        <v>107</v>
      </c>
      <c r="GC46" s="4">
        <v>112</v>
      </c>
      <c r="GD46" s="4">
        <v>31</v>
      </c>
      <c r="GE46" s="4">
        <v>51</v>
      </c>
      <c r="GF46" s="4">
        <v>72</v>
      </c>
      <c r="GG46" s="4">
        <v>100</v>
      </c>
      <c r="GH46" s="4">
        <v>100</v>
      </c>
      <c r="GJ46" s="4">
        <v>33</v>
      </c>
      <c r="GK46" s="4">
        <v>2</v>
      </c>
      <c r="GL46" s="4">
        <v>25</v>
      </c>
      <c r="GT46" s="4">
        <v>-90</v>
      </c>
      <c r="GU46" s="4">
        <v>-7</v>
      </c>
    </row>
    <row r="47" spans="1:203" hidden="1" x14ac:dyDescent="0.25">
      <c r="A47" s="12">
        <v>6</v>
      </c>
      <c r="B47" s="12">
        <f>IF('DATOS Y RESPUESTAS'!C19="v",1,0)</f>
        <v>1</v>
      </c>
      <c r="C47" s="6">
        <f>IF('DATOS Y RESPUESTAS'!C19="f",1,0)</f>
        <v>0</v>
      </c>
      <c r="D47" s="12">
        <v>31</v>
      </c>
      <c r="E47" s="12">
        <f>IF('DATOS Y RESPUESTAS'!E19="v",1,0)</f>
        <v>0</v>
      </c>
      <c r="F47" s="6">
        <f>IF('DATOS Y RESPUESTAS'!E19="f",1,0)</f>
        <v>1</v>
      </c>
      <c r="G47" s="6"/>
      <c r="H47" s="12">
        <v>56</v>
      </c>
      <c r="I47" s="12">
        <f>IF('DATOS Y RESPUESTAS'!G19="v",1,0)</f>
        <v>0</v>
      </c>
      <c r="J47" s="6">
        <f>IF('DATOS Y RESPUESTAS'!G19="f",1,0)</f>
        <v>1</v>
      </c>
      <c r="K47" s="12">
        <v>81</v>
      </c>
      <c r="L47" s="12">
        <f>IF('DATOS Y RESPUESTAS'!I19="v",1,0)</f>
        <v>1</v>
      </c>
      <c r="M47" s="6">
        <f>IF('DATOS Y RESPUESTAS'!I19="f",1,0)</f>
        <v>0</v>
      </c>
      <c r="N47" s="12">
        <v>106</v>
      </c>
      <c r="O47" s="12">
        <f>IF('DATOS Y RESPUESTAS'!K19="v",1,0)</f>
        <v>0</v>
      </c>
      <c r="P47" s="6">
        <f>IF('DATOS Y RESPUESTAS'!K19="f",1,0)</f>
        <v>1</v>
      </c>
      <c r="Q47" s="12">
        <v>131</v>
      </c>
      <c r="R47" s="12">
        <f>IF('DATOS Y RESPUESTAS'!M19="v",1,0)</f>
        <v>0</v>
      </c>
      <c r="S47" s="6">
        <f>IF('DATOS Y RESPUESTAS'!M19="f",1,0)</f>
        <v>1</v>
      </c>
      <c r="T47" s="6"/>
      <c r="U47" s="6"/>
      <c r="V47" s="12">
        <v>156</v>
      </c>
      <c r="W47" s="12"/>
      <c r="X47" s="12">
        <f>IF('DATOS Y RESPUESTAS'!O19="v",1,0)</f>
        <v>0</v>
      </c>
      <c r="Y47" s="6">
        <f>IF('DATOS Y RESPUESTAS'!O19="f",1,0)</f>
        <v>1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12"/>
      <c r="BT47" s="12"/>
      <c r="BV47" s="4">
        <v>32</v>
      </c>
      <c r="BW47" s="4">
        <v>67</v>
      </c>
      <c r="BX47" s="4">
        <v>72</v>
      </c>
      <c r="BY47" s="4">
        <v>81</v>
      </c>
      <c r="BZ47" s="4">
        <v>15</v>
      </c>
      <c r="CA47" s="4">
        <v>35</v>
      </c>
      <c r="CB47" s="4">
        <v>47</v>
      </c>
      <c r="CC47" s="4">
        <v>54</v>
      </c>
      <c r="CD47" s="4">
        <v>108</v>
      </c>
      <c r="CE47" s="4">
        <v>22</v>
      </c>
      <c r="CF47" s="4">
        <v>67</v>
      </c>
      <c r="CG47" s="4">
        <v>65</v>
      </c>
      <c r="CH47" s="4">
        <v>107</v>
      </c>
      <c r="CI47" s="4">
        <v>101</v>
      </c>
      <c r="CJ47" s="4">
        <v>69</v>
      </c>
      <c r="CK47" s="4">
        <v>115</v>
      </c>
      <c r="CL47" s="4">
        <v>57</v>
      </c>
      <c r="CM47" s="4">
        <v>112</v>
      </c>
      <c r="CN47" s="4">
        <v>75</v>
      </c>
      <c r="CO47" s="4">
        <v>110</v>
      </c>
      <c r="CP47" s="4">
        <v>115</v>
      </c>
      <c r="CQ47" s="4">
        <v>100</v>
      </c>
      <c r="CR47" s="4">
        <v>86</v>
      </c>
      <c r="CS47" s="4">
        <v>77</v>
      </c>
      <c r="CT47" s="4">
        <v>110</v>
      </c>
      <c r="CU47" s="4">
        <v>54</v>
      </c>
      <c r="CV47" s="4">
        <v>82</v>
      </c>
      <c r="CW47" s="4">
        <v>97</v>
      </c>
      <c r="CX47" s="4">
        <v>100</v>
      </c>
      <c r="CY47" s="4">
        <v>100</v>
      </c>
      <c r="CZ47" s="4">
        <v>64</v>
      </c>
      <c r="DA47" s="4">
        <v>67</v>
      </c>
      <c r="DB47" s="4">
        <v>78</v>
      </c>
      <c r="DC47" s="4">
        <v>13</v>
      </c>
      <c r="DD47" s="4">
        <v>35</v>
      </c>
      <c r="DE47" s="4">
        <v>48</v>
      </c>
      <c r="DF47" s="4">
        <v>50</v>
      </c>
      <c r="DG47" s="4">
        <v>113</v>
      </c>
      <c r="DH47" s="4">
        <v>26</v>
      </c>
      <c r="DI47" s="4">
        <v>65</v>
      </c>
      <c r="DJ47" s="4">
        <v>61</v>
      </c>
      <c r="DK47" s="4">
        <v>102</v>
      </c>
      <c r="DL47" s="4">
        <v>106</v>
      </c>
      <c r="DM47" s="4">
        <v>65</v>
      </c>
      <c r="DN47" s="4">
        <v>115</v>
      </c>
      <c r="DO47" s="4">
        <v>72</v>
      </c>
      <c r="DP47" s="4">
        <v>115</v>
      </c>
      <c r="DQ47" s="4">
        <v>74</v>
      </c>
      <c r="DR47" s="4">
        <v>105</v>
      </c>
      <c r="DS47" s="4">
        <v>115</v>
      </c>
      <c r="DT47" s="4">
        <v>111</v>
      </c>
      <c r="DU47" s="4">
        <v>81</v>
      </c>
      <c r="DV47" s="4">
        <v>73</v>
      </c>
      <c r="DW47" s="4">
        <v>113</v>
      </c>
      <c r="DX47" s="4">
        <v>58</v>
      </c>
      <c r="DY47" s="4">
        <v>75</v>
      </c>
      <c r="DZ47" s="4">
        <v>100</v>
      </c>
      <c r="EA47" s="4">
        <v>100</v>
      </c>
      <c r="EB47" s="4">
        <v>100</v>
      </c>
      <c r="EC47" s="4">
        <v>58</v>
      </c>
      <c r="ED47" s="4">
        <v>51</v>
      </c>
      <c r="EE47" s="4">
        <v>73</v>
      </c>
      <c r="EF47" s="4">
        <v>7</v>
      </c>
      <c r="EG47" s="4">
        <v>52</v>
      </c>
      <c r="EH47" s="4">
        <v>70</v>
      </c>
      <c r="EI47" s="4">
        <v>67</v>
      </c>
      <c r="EJ47" s="4">
        <v>109</v>
      </c>
      <c r="EK47" s="4">
        <v>23</v>
      </c>
      <c r="EL47" s="4">
        <v>60</v>
      </c>
      <c r="EM47" s="4">
        <v>51</v>
      </c>
      <c r="EN47" s="4">
        <v>85</v>
      </c>
      <c r="EO47" s="4">
        <v>97</v>
      </c>
      <c r="EP47" s="4">
        <v>50</v>
      </c>
      <c r="EQ47" s="4">
        <v>115</v>
      </c>
      <c r="ER47" s="4">
        <v>46</v>
      </c>
      <c r="ES47" s="4">
        <v>115</v>
      </c>
      <c r="ET47" s="4">
        <v>96</v>
      </c>
      <c r="EU47" s="4">
        <v>102</v>
      </c>
      <c r="EV47" s="4">
        <v>112</v>
      </c>
      <c r="EW47" s="4">
        <v>78</v>
      </c>
      <c r="EX47" s="4">
        <v>87</v>
      </c>
      <c r="EY47" s="4">
        <v>103</v>
      </c>
      <c r="EZ47" s="4">
        <v>114</v>
      </c>
      <c r="FA47" s="4">
        <v>32</v>
      </c>
      <c r="FB47" s="4">
        <v>61</v>
      </c>
      <c r="FC47" s="4">
        <v>75</v>
      </c>
      <c r="FD47" s="4">
        <v>100</v>
      </c>
      <c r="FE47" s="4">
        <v>100</v>
      </c>
      <c r="FF47" s="4">
        <v>55</v>
      </c>
      <c r="FG47" s="4">
        <v>50</v>
      </c>
      <c r="FH47" s="4">
        <v>64</v>
      </c>
      <c r="FI47" s="4">
        <v>6</v>
      </c>
      <c r="FJ47" s="4">
        <v>52</v>
      </c>
      <c r="FK47" s="4">
        <v>72</v>
      </c>
      <c r="FL47" s="4">
        <v>63</v>
      </c>
      <c r="FM47" s="4">
        <v>111</v>
      </c>
      <c r="FN47" s="4">
        <v>27</v>
      </c>
      <c r="FO47" s="4">
        <v>60</v>
      </c>
      <c r="FP47" s="4">
        <v>46</v>
      </c>
      <c r="FQ47" s="4">
        <v>85</v>
      </c>
      <c r="FR47" s="4">
        <v>85</v>
      </c>
      <c r="FS47" s="4">
        <v>45</v>
      </c>
      <c r="FT47" s="4">
        <v>115</v>
      </c>
      <c r="FU47" s="4">
        <v>54</v>
      </c>
      <c r="FV47" s="4">
        <v>115</v>
      </c>
      <c r="FW47" s="4">
        <v>100</v>
      </c>
      <c r="FX47" s="4">
        <v>98</v>
      </c>
      <c r="FY47" s="4">
        <v>114</v>
      </c>
      <c r="FZ47" s="4">
        <v>71</v>
      </c>
      <c r="GA47" s="4">
        <v>85</v>
      </c>
      <c r="GB47" s="4">
        <v>107</v>
      </c>
      <c r="GC47" s="4">
        <v>114</v>
      </c>
      <c r="GD47" s="4">
        <v>37</v>
      </c>
      <c r="GE47" s="4">
        <v>52</v>
      </c>
      <c r="GF47" s="4">
        <v>73</v>
      </c>
      <c r="GG47" s="4">
        <v>100</v>
      </c>
      <c r="GH47" s="4">
        <v>100</v>
      </c>
      <c r="GJ47" s="4">
        <v>34</v>
      </c>
      <c r="GK47" s="4">
        <v>2</v>
      </c>
      <c r="GL47" s="4">
        <v>25</v>
      </c>
      <c r="GT47" s="4">
        <v>-89</v>
      </c>
      <c r="GU47" s="4">
        <v>-7</v>
      </c>
    </row>
    <row r="48" spans="1:203" hidden="1" x14ac:dyDescent="0.25">
      <c r="A48" s="12">
        <v>7</v>
      </c>
      <c r="B48" s="12">
        <f>IF('DATOS Y RESPUESTAS'!C20="v",1,0)</f>
        <v>0</v>
      </c>
      <c r="C48" s="6">
        <f>IF('DATOS Y RESPUESTAS'!C20="f",1,0)</f>
        <v>1</v>
      </c>
      <c r="D48" s="12">
        <v>32</v>
      </c>
      <c r="E48" s="12">
        <f>IF('DATOS Y RESPUESTAS'!E20="v",1,0)</f>
        <v>0</v>
      </c>
      <c r="F48" s="6">
        <f>IF('DATOS Y RESPUESTAS'!E20="f",1,0)</f>
        <v>1</v>
      </c>
      <c r="G48" s="6"/>
      <c r="H48" s="12">
        <v>57</v>
      </c>
      <c r="I48" s="12">
        <f>IF('DATOS Y RESPUESTAS'!G20="v",1,0)</f>
        <v>0</v>
      </c>
      <c r="J48" s="6">
        <f>IF('DATOS Y RESPUESTAS'!G20="f",1,0)</f>
        <v>1</v>
      </c>
      <c r="K48" s="12">
        <v>82</v>
      </c>
      <c r="L48" s="12">
        <f>IF('DATOS Y RESPUESTAS'!I20="v",1,0)</f>
        <v>0</v>
      </c>
      <c r="M48" s="6">
        <f>IF('DATOS Y RESPUESTAS'!I20="f",1,0)</f>
        <v>1</v>
      </c>
      <c r="N48" s="12">
        <v>107</v>
      </c>
      <c r="O48" s="12">
        <f>IF('DATOS Y RESPUESTAS'!K20="v",1,0)</f>
        <v>0</v>
      </c>
      <c r="P48" s="6">
        <f>IF('DATOS Y RESPUESTAS'!K20="f",1,0)</f>
        <v>1</v>
      </c>
      <c r="Q48" s="12">
        <v>132</v>
      </c>
      <c r="R48" s="12">
        <f>IF('DATOS Y RESPUESTAS'!M20="v",1,0)</f>
        <v>0</v>
      </c>
      <c r="S48" s="6">
        <f>IF('DATOS Y RESPUESTAS'!M20="f",1,0)</f>
        <v>1</v>
      </c>
      <c r="T48" s="6"/>
      <c r="U48" s="6"/>
      <c r="V48" s="12">
        <v>157</v>
      </c>
      <c r="W48" s="12"/>
      <c r="X48" s="12">
        <f>IF('DATOS Y RESPUESTAS'!O20="v",1,0)</f>
        <v>0</v>
      </c>
      <c r="Y48" s="6">
        <f>IF('DATOS Y RESPUESTAS'!O20="f",1,0)</f>
        <v>1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12"/>
      <c r="BT48" s="12"/>
      <c r="BV48" s="4">
        <v>33</v>
      </c>
      <c r="BW48" s="4">
        <v>69</v>
      </c>
      <c r="BX48" s="4">
        <v>74</v>
      </c>
      <c r="BY48" s="4">
        <v>83</v>
      </c>
      <c r="BZ48" s="4">
        <v>17</v>
      </c>
      <c r="CA48" s="4">
        <v>40</v>
      </c>
      <c r="CB48" s="4">
        <v>50</v>
      </c>
      <c r="CC48" s="4">
        <v>57</v>
      </c>
      <c r="CD48" s="4">
        <v>110</v>
      </c>
      <c r="CE48" s="4">
        <v>23</v>
      </c>
      <c r="CF48" s="4">
        <v>69</v>
      </c>
      <c r="CG48" s="4">
        <v>66</v>
      </c>
      <c r="CH48" s="4">
        <v>109</v>
      </c>
      <c r="CI48" s="4">
        <v>105</v>
      </c>
      <c r="CJ48" s="4">
        <v>70</v>
      </c>
      <c r="CK48" s="4">
        <v>115</v>
      </c>
      <c r="CL48" s="4">
        <v>60</v>
      </c>
      <c r="CM48" s="4">
        <v>113</v>
      </c>
      <c r="CN48" s="4">
        <v>77</v>
      </c>
      <c r="CO48" s="4">
        <v>112</v>
      </c>
      <c r="CP48" s="4">
        <v>115</v>
      </c>
      <c r="CQ48" s="4">
        <v>105</v>
      </c>
      <c r="CR48" s="4">
        <v>95</v>
      </c>
      <c r="CS48" s="4">
        <v>80</v>
      </c>
      <c r="CT48" s="4">
        <v>113</v>
      </c>
      <c r="CU48" s="4">
        <v>58</v>
      </c>
      <c r="CV48" s="4">
        <v>83</v>
      </c>
      <c r="CW48" s="4">
        <v>100</v>
      </c>
      <c r="CX48" s="4">
        <v>100</v>
      </c>
      <c r="CY48" s="4">
        <v>100</v>
      </c>
      <c r="CZ48" s="4">
        <v>65</v>
      </c>
      <c r="DA48" s="4">
        <v>68</v>
      </c>
      <c r="DB48" s="4">
        <v>80</v>
      </c>
      <c r="DC48" s="4">
        <v>16</v>
      </c>
      <c r="DD48" s="4">
        <v>37</v>
      </c>
      <c r="DE48" s="4">
        <v>50</v>
      </c>
      <c r="DF48" s="4">
        <v>52</v>
      </c>
      <c r="DG48" s="4">
        <v>113</v>
      </c>
      <c r="DH48" s="4">
        <v>29</v>
      </c>
      <c r="DI48" s="4">
        <v>67</v>
      </c>
      <c r="DJ48" s="4">
        <v>62</v>
      </c>
      <c r="DK48" s="4">
        <v>105</v>
      </c>
      <c r="DL48" s="4">
        <v>108</v>
      </c>
      <c r="DM48" s="4">
        <v>67</v>
      </c>
      <c r="DN48" s="4">
        <v>115</v>
      </c>
      <c r="DO48" s="4">
        <v>75</v>
      </c>
      <c r="DP48" s="4">
        <v>115</v>
      </c>
      <c r="DQ48" s="4">
        <v>75</v>
      </c>
      <c r="DR48" s="4">
        <v>113</v>
      </c>
      <c r="DS48" s="4">
        <v>115</v>
      </c>
      <c r="DT48" s="4">
        <v>111</v>
      </c>
      <c r="DU48" s="4">
        <v>81</v>
      </c>
      <c r="DV48" s="4">
        <v>75</v>
      </c>
      <c r="DW48" s="4">
        <v>115</v>
      </c>
      <c r="DX48" s="4">
        <v>60</v>
      </c>
      <c r="DY48" s="4">
        <v>77</v>
      </c>
      <c r="DZ48" s="4">
        <v>104</v>
      </c>
      <c r="EA48" s="4">
        <v>100</v>
      </c>
      <c r="EB48" s="4">
        <v>100</v>
      </c>
      <c r="EC48" s="4">
        <v>60</v>
      </c>
      <c r="ED48" s="4">
        <v>52</v>
      </c>
      <c r="EE48" s="4">
        <v>75</v>
      </c>
      <c r="EF48" s="4">
        <v>8</v>
      </c>
      <c r="EG48" s="4">
        <v>54</v>
      </c>
      <c r="EH48" s="4">
        <v>72</v>
      </c>
      <c r="EI48" s="4">
        <v>68</v>
      </c>
      <c r="EJ48" s="4">
        <v>110</v>
      </c>
      <c r="EK48" s="4">
        <v>25</v>
      </c>
      <c r="EL48" s="4">
        <v>62</v>
      </c>
      <c r="EM48" s="4">
        <v>52</v>
      </c>
      <c r="EN48" s="4">
        <v>91</v>
      </c>
      <c r="EO48" s="4">
        <v>100</v>
      </c>
      <c r="EP48" s="4">
        <v>51</v>
      </c>
      <c r="EQ48" s="4">
        <v>115</v>
      </c>
      <c r="ER48" s="4">
        <v>48</v>
      </c>
      <c r="ES48" s="4">
        <v>115</v>
      </c>
      <c r="ET48" s="4">
        <v>100</v>
      </c>
      <c r="EU48" s="4">
        <v>105</v>
      </c>
      <c r="EV48" s="4">
        <v>112</v>
      </c>
      <c r="EW48" s="4">
        <v>81</v>
      </c>
      <c r="EX48" s="4">
        <v>90</v>
      </c>
      <c r="EY48" s="4">
        <v>105</v>
      </c>
      <c r="EZ48" s="4">
        <v>114</v>
      </c>
      <c r="FA48" s="4">
        <v>40</v>
      </c>
      <c r="FB48" s="4">
        <v>62</v>
      </c>
      <c r="FC48" s="4">
        <v>79</v>
      </c>
      <c r="FD48" s="4">
        <v>100</v>
      </c>
      <c r="FE48" s="4">
        <v>100</v>
      </c>
      <c r="FF48" s="4">
        <v>57</v>
      </c>
      <c r="FG48" s="4">
        <v>52</v>
      </c>
      <c r="FH48" s="4">
        <v>67</v>
      </c>
      <c r="FI48" s="4">
        <v>6</v>
      </c>
      <c r="FJ48" s="4">
        <v>55</v>
      </c>
      <c r="FK48" s="4">
        <v>74</v>
      </c>
      <c r="FL48" s="4">
        <v>66</v>
      </c>
      <c r="FM48" s="4">
        <v>111</v>
      </c>
      <c r="FN48" s="4">
        <v>29</v>
      </c>
      <c r="FO48" s="4">
        <v>63</v>
      </c>
      <c r="FP48" s="4">
        <v>47</v>
      </c>
      <c r="FQ48" s="4">
        <v>91</v>
      </c>
      <c r="FR48" s="4">
        <v>89</v>
      </c>
      <c r="FS48" s="4">
        <v>46</v>
      </c>
      <c r="FT48" s="4">
        <v>115</v>
      </c>
      <c r="FU48" s="4">
        <v>58</v>
      </c>
      <c r="FV48" s="4">
        <v>115</v>
      </c>
      <c r="FW48" s="4">
        <v>104</v>
      </c>
      <c r="FX48" s="4">
        <v>105</v>
      </c>
      <c r="FY48" s="4">
        <v>115</v>
      </c>
      <c r="FZ48" s="4">
        <v>73</v>
      </c>
      <c r="GA48" s="4">
        <v>87</v>
      </c>
      <c r="GB48" s="4">
        <v>107</v>
      </c>
      <c r="GC48" s="4">
        <v>114</v>
      </c>
      <c r="GD48" s="4">
        <v>40</v>
      </c>
      <c r="GE48" s="4">
        <v>55</v>
      </c>
      <c r="GF48" s="4">
        <v>75</v>
      </c>
      <c r="GG48" s="4">
        <v>100</v>
      </c>
      <c r="GH48" s="4">
        <v>100</v>
      </c>
      <c r="GJ48" s="4">
        <v>35</v>
      </c>
      <c r="GK48" s="4">
        <v>2</v>
      </c>
      <c r="GL48" s="4">
        <v>25</v>
      </c>
      <c r="GT48" s="4">
        <v>-88</v>
      </c>
      <c r="GU48" s="4">
        <v>-7</v>
      </c>
    </row>
    <row r="49" spans="1:203" hidden="1" x14ac:dyDescent="0.25">
      <c r="A49" s="12">
        <v>8</v>
      </c>
      <c r="B49" s="12">
        <f>IF('DATOS Y RESPUESTAS'!C21="v",1,0)</f>
        <v>0</v>
      </c>
      <c r="C49" s="6">
        <f>IF('DATOS Y RESPUESTAS'!C21="f",1,0)</f>
        <v>1</v>
      </c>
      <c r="D49" s="12">
        <v>33</v>
      </c>
      <c r="E49" s="12">
        <f>IF('DATOS Y RESPUESTAS'!E21="v",1,0)</f>
        <v>0</v>
      </c>
      <c r="F49" s="6">
        <f>IF('DATOS Y RESPUESTAS'!E21="f",1,0)</f>
        <v>1</v>
      </c>
      <c r="G49" s="6"/>
      <c r="H49" s="12">
        <v>58</v>
      </c>
      <c r="I49" s="12">
        <f>IF('DATOS Y RESPUESTAS'!G21="v",1,0)</f>
        <v>0</v>
      </c>
      <c r="J49" s="6">
        <f>IF('DATOS Y RESPUESTAS'!G21="f",1,0)</f>
        <v>1</v>
      </c>
      <c r="K49" s="12">
        <v>83</v>
      </c>
      <c r="L49" s="12">
        <f>IF('DATOS Y RESPUESTAS'!I21="v",1,0)</f>
        <v>0</v>
      </c>
      <c r="M49" s="6">
        <f>IF('DATOS Y RESPUESTAS'!I21="f",1,0)</f>
        <v>1</v>
      </c>
      <c r="N49" s="12">
        <v>108</v>
      </c>
      <c r="O49" s="12">
        <f>IF('DATOS Y RESPUESTAS'!K21="v",1,0)</f>
        <v>1</v>
      </c>
      <c r="P49" s="6">
        <f>IF('DATOS Y RESPUESTAS'!K21="f",1,0)</f>
        <v>0</v>
      </c>
      <c r="Q49" s="12">
        <v>133</v>
      </c>
      <c r="R49" s="12">
        <f>IF('DATOS Y RESPUESTAS'!M21="v",1,0)</f>
        <v>0</v>
      </c>
      <c r="S49" s="6">
        <f>IF('DATOS Y RESPUESTAS'!M21="f",1,0)</f>
        <v>1</v>
      </c>
      <c r="T49" s="6"/>
      <c r="U49" s="6"/>
      <c r="V49" s="12">
        <v>158</v>
      </c>
      <c r="W49" s="12"/>
      <c r="X49" s="12">
        <f>IF('DATOS Y RESPUESTAS'!O21="v",1,0)</f>
        <v>0</v>
      </c>
      <c r="Y49" s="6">
        <f>IF('DATOS Y RESPUESTAS'!O21="f",1,0)</f>
        <v>1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12"/>
      <c r="BT49" s="12"/>
      <c r="BV49" s="4">
        <v>34</v>
      </c>
      <c r="BW49" s="4">
        <v>72</v>
      </c>
      <c r="BX49" s="4">
        <v>75</v>
      </c>
      <c r="BY49" s="4">
        <v>84</v>
      </c>
      <c r="BZ49" s="4">
        <v>20</v>
      </c>
      <c r="CA49" s="4">
        <v>41</v>
      </c>
      <c r="CB49" s="4">
        <v>55</v>
      </c>
      <c r="CC49" s="4">
        <v>60</v>
      </c>
      <c r="CD49" s="4">
        <v>113</v>
      </c>
      <c r="CE49" s="4">
        <v>25</v>
      </c>
      <c r="CF49" s="4">
        <v>72</v>
      </c>
      <c r="CG49" s="4">
        <v>67</v>
      </c>
      <c r="CH49" s="4">
        <v>114</v>
      </c>
      <c r="CI49" s="4">
        <v>108</v>
      </c>
      <c r="CJ49" s="4">
        <v>71</v>
      </c>
      <c r="CK49" s="4">
        <v>115</v>
      </c>
      <c r="CL49" s="4">
        <v>62</v>
      </c>
      <c r="CM49" s="4">
        <v>115</v>
      </c>
      <c r="CN49" s="4">
        <v>81</v>
      </c>
      <c r="CO49" s="4">
        <v>114</v>
      </c>
      <c r="CP49" s="4">
        <v>115</v>
      </c>
      <c r="CQ49" s="4">
        <v>107</v>
      </c>
      <c r="CR49" s="4">
        <v>95</v>
      </c>
      <c r="CS49" s="4">
        <v>81</v>
      </c>
      <c r="CT49" s="4">
        <v>115</v>
      </c>
      <c r="CU49" s="4">
        <v>61</v>
      </c>
      <c r="CV49" s="4">
        <v>85</v>
      </c>
      <c r="CW49" s="4">
        <v>107</v>
      </c>
      <c r="CX49" s="4">
        <v>100</v>
      </c>
      <c r="CY49" s="4">
        <v>100</v>
      </c>
      <c r="CZ49" s="4">
        <v>68</v>
      </c>
      <c r="DA49" s="4">
        <v>70</v>
      </c>
      <c r="DB49" s="4">
        <v>85</v>
      </c>
      <c r="DC49" s="4">
        <v>20</v>
      </c>
      <c r="DD49" s="4">
        <v>40</v>
      </c>
      <c r="DE49" s="4">
        <v>55</v>
      </c>
      <c r="DF49" s="4">
        <v>59</v>
      </c>
      <c r="DG49" s="4">
        <v>113</v>
      </c>
      <c r="DH49" s="4">
        <v>31</v>
      </c>
      <c r="DI49" s="4">
        <v>68</v>
      </c>
      <c r="DJ49" s="4">
        <v>64</v>
      </c>
      <c r="DK49" s="4">
        <v>109</v>
      </c>
      <c r="DL49" s="4">
        <v>108</v>
      </c>
      <c r="DM49" s="4">
        <v>69</v>
      </c>
      <c r="DN49" s="4">
        <v>115</v>
      </c>
      <c r="DO49" s="4">
        <v>83</v>
      </c>
      <c r="DP49" s="4">
        <v>115</v>
      </c>
      <c r="DQ49" s="4">
        <v>79</v>
      </c>
      <c r="DR49" s="4">
        <v>113</v>
      </c>
      <c r="DS49" s="4">
        <v>115</v>
      </c>
      <c r="DT49" s="4">
        <v>111</v>
      </c>
      <c r="DU49" s="4">
        <v>82</v>
      </c>
      <c r="DV49" s="4">
        <v>77</v>
      </c>
      <c r="DW49" s="4">
        <v>115</v>
      </c>
      <c r="DX49" s="4">
        <v>63</v>
      </c>
      <c r="DY49" s="4">
        <v>77</v>
      </c>
      <c r="DZ49" s="4">
        <v>108</v>
      </c>
      <c r="EA49" s="4">
        <v>100</v>
      </c>
      <c r="EB49" s="4">
        <v>100</v>
      </c>
      <c r="EC49" s="4">
        <v>61</v>
      </c>
      <c r="ED49" s="4">
        <v>54</v>
      </c>
      <c r="EE49" s="4">
        <v>78</v>
      </c>
      <c r="EF49" s="4">
        <v>9</v>
      </c>
      <c r="EG49" s="4">
        <v>57</v>
      </c>
      <c r="EH49" s="4">
        <v>73</v>
      </c>
      <c r="EI49" s="4">
        <v>70</v>
      </c>
      <c r="EJ49" s="4">
        <v>111</v>
      </c>
      <c r="EK49" s="4">
        <v>27</v>
      </c>
      <c r="EL49" s="4">
        <v>65</v>
      </c>
      <c r="EM49" s="4">
        <v>54</v>
      </c>
      <c r="EN49" s="4">
        <v>98</v>
      </c>
      <c r="EO49" s="4">
        <v>103</v>
      </c>
      <c r="EP49" s="4">
        <v>52</v>
      </c>
      <c r="EQ49" s="4">
        <v>115</v>
      </c>
      <c r="ER49" s="4">
        <v>50</v>
      </c>
      <c r="ES49" s="4">
        <v>115</v>
      </c>
      <c r="ET49" s="4">
        <v>101</v>
      </c>
      <c r="EU49" s="4">
        <v>110</v>
      </c>
      <c r="EV49" s="4">
        <v>114</v>
      </c>
      <c r="EW49" s="4">
        <v>85</v>
      </c>
      <c r="EX49" s="4">
        <v>93</v>
      </c>
      <c r="EY49" s="4">
        <v>106</v>
      </c>
      <c r="EZ49" s="4">
        <v>114</v>
      </c>
      <c r="FA49" s="4">
        <v>42</v>
      </c>
      <c r="FB49" s="4">
        <v>64</v>
      </c>
      <c r="FC49" s="4">
        <v>85</v>
      </c>
      <c r="FD49" s="4">
        <v>100</v>
      </c>
      <c r="FE49" s="4">
        <v>100</v>
      </c>
      <c r="FF49" s="4">
        <v>58</v>
      </c>
      <c r="FG49" s="4">
        <v>53</v>
      </c>
      <c r="FH49" s="4">
        <v>70</v>
      </c>
      <c r="FI49" s="4">
        <v>7</v>
      </c>
      <c r="FJ49" s="4">
        <v>57</v>
      </c>
      <c r="FK49" s="4">
        <v>75</v>
      </c>
      <c r="FL49" s="4">
        <v>68</v>
      </c>
      <c r="FM49" s="4">
        <v>111</v>
      </c>
      <c r="FN49" s="4">
        <v>30</v>
      </c>
      <c r="FO49" s="4">
        <v>64</v>
      </c>
      <c r="FP49" s="4">
        <v>48</v>
      </c>
      <c r="FQ49" s="4">
        <v>95</v>
      </c>
      <c r="FR49" s="4">
        <v>98</v>
      </c>
      <c r="FS49" s="4">
        <v>47</v>
      </c>
      <c r="FT49" s="4">
        <v>115</v>
      </c>
      <c r="FU49" s="4">
        <v>62</v>
      </c>
      <c r="FV49" s="4">
        <v>115</v>
      </c>
      <c r="FW49" s="4">
        <v>107</v>
      </c>
      <c r="FX49" s="4">
        <v>108</v>
      </c>
      <c r="FY49" s="4">
        <v>115</v>
      </c>
      <c r="FZ49" s="4">
        <v>75</v>
      </c>
      <c r="GA49" s="4">
        <v>90</v>
      </c>
      <c r="GB49" s="4">
        <v>108</v>
      </c>
      <c r="GC49" s="4">
        <v>115</v>
      </c>
      <c r="GD49" s="4">
        <v>42</v>
      </c>
      <c r="GE49" s="4">
        <v>57</v>
      </c>
      <c r="GF49" s="4">
        <v>81</v>
      </c>
      <c r="GG49" s="4">
        <v>100</v>
      </c>
      <c r="GH49" s="4">
        <v>100</v>
      </c>
      <c r="GJ49" s="4">
        <v>36</v>
      </c>
      <c r="GK49" s="4">
        <v>2</v>
      </c>
      <c r="GL49" s="4">
        <v>25</v>
      </c>
      <c r="GT49" s="4">
        <v>-87</v>
      </c>
      <c r="GU49" s="4">
        <v>-7</v>
      </c>
    </row>
    <row r="50" spans="1:203" hidden="1" x14ac:dyDescent="0.25">
      <c r="A50" s="12">
        <v>9</v>
      </c>
      <c r="B50" s="12">
        <f>IF('DATOS Y RESPUESTAS'!C22="v",1,0)</f>
        <v>1</v>
      </c>
      <c r="C50" s="6">
        <f>IF('DATOS Y RESPUESTAS'!C22="f",1,0)</f>
        <v>0</v>
      </c>
      <c r="D50" s="12">
        <v>34</v>
      </c>
      <c r="E50" s="12">
        <f>IF('DATOS Y RESPUESTAS'!E22="v",1,0)</f>
        <v>0</v>
      </c>
      <c r="F50" s="6">
        <f>IF('DATOS Y RESPUESTAS'!E22="f",1,0)</f>
        <v>1</v>
      </c>
      <c r="G50" s="6"/>
      <c r="H50" s="12">
        <v>59</v>
      </c>
      <c r="I50" s="12">
        <f>IF('DATOS Y RESPUESTAS'!G22="v",1,0)</f>
        <v>0</v>
      </c>
      <c r="J50" s="6">
        <f>IF('DATOS Y RESPUESTAS'!G22="f",1,0)</f>
        <v>1</v>
      </c>
      <c r="K50" s="12">
        <v>84</v>
      </c>
      <c r="L50" s="12">
        <f>IF('DATOS Y RESPUESTAS'!I22="v",1,0)</f>
        <v>0</v>
      </c>
      <c r="M50" s="6">
        <f>IF('DATOS Y RESPUESTAS'!I22="f",1,0)</f>
        <v>1</v>
      </c>
      <c r="N50" s="12">
        <v>109</v>
      </c>
      <c r="O50" s="12">
        <f>IF('DATOS Y RESPUESTAS'!K22="v",1,0)</f>
        <v>1</v>
      </c>
      <c r="P50" s="6">
        <f>IF('DATOS Y RESPUESTAS'!K22="f",1,0)</f>
        <v>0</v>
      </c>
      <c r="Q50" s="12">
        <v>134</v>
      </c>
      <c r="R50" s="12">
        <f>IF('DATOS Y RESPUESTAS'!M22="v",1,0)</f>
        <v>0</v>
      </c>
      <c r="S50" s="6">
        <f>IF('DATOS Y RESPUESTAS'!M22="f",1,0)</f>
        <v>1</v>
      </c>
      <c r="T50" s="6"/>
      <c r="U50" s="6"/>
      <c r="V50" s="12">
        <v>159</v>
      </c>
      <c r="W50" s="12"/>
      <c r="X50" s="12">
        <f>IF('DATOS Y RESPUESTAS'!O22="v",1,0)</f>
        <v>1</v>
      </c>
      <c r="Y50" s="6">
        <f>IF('DATOS Y RESPUESTAS'!O22="f",1,0)</f>
        <v>0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12"/>
      <c r="BT50" s="12"/>
      <c r="BV50" s="4">
        <v>35</v>
      </c>
      <c r="BW50" s="4">
        <v>74</v>
      </c>
      <c r="BX50" s="4">
        <v>77</v>
      </c>
      <c r="BY50" s="4">
        <v>85</v>
      </c>
      <c r="BZ50" s="4">
        <v>21</v>
      </c>
      <c r="CA50" s="4">
        <v>44</v>
      </c>
      <c r="CB50" s="4">
        <v>59</v>
      </c>
      <c r="CC50" s="4">
        <v>63</v>
      </c>
      <c r="CD50" s="4">
        <v>114</v>
      </c>
      <c r="CE50" s="4">
        <v>29</v>
      </c>
      <c r="CF50" s="4">
        <v>74</v>
      </c>
      <c r="CG50" s="4">
        <v>69</v>
      </c>
      <c r="CH50" s="4">
        <v>115</v>
      </c>
      <c r="CI50" s="4">
        <v>109</v>
      </c>
      <c r="CJ50" s="4">
        <v>73</v>
      </c>
      <c r="CK50" s="4">
        <v>115</v>
      </c>
      <c r="CL50" s="4">
        <v>66</v>
      </c>
      <c r="CM50" s="4">
        <v>115</v>
      </c>
      <c r="CN50" s="4">
        <v>83</v>
      </c>
      <c r="CO50" s="4">
        <v>114</v>
      </c>
      <c r="CP50" s="4">
        <v>115</v>
      </c>
      <c r="CQ50" s="4">
        <v>110</v>
      </c>
      <c r="CR50" s="4">
        <v>95</v>
      </c>
      <c r="CS50" s="4">
        <v>83</v>
      </c>
      <c r="CT50" s="4">
        <v>115</v>
      </c>
      <c r="CU50" s="4">
        <v>65</v>
      </c>
      <c r="CV50" s="4">
        <v>89</v>
      </c>
      <c r="CW50" s="4">
        <v>110</v>
      </c>
      <c r="CX50" s="4">
        <v>100</v>
      </c>
      <c r="CY50" s="4">
        <v>100</v>
      </c>
      <c r="CZ50" s="4">
        <v>70</v>
      </c>
      <c r="DA50" s="4">
        <v>73</v>
      </c>
      <c r="DB50" s="4">
        <v>88</v>
      </c>
      <c r="DC50" s="4">
        <v>21</v>
      </c>
      <c r="DD50" s="4">
        <v>42</v>
      </c>
      <c r="DE50" s="4">
        <v>57</v>
      </c>
      <c r="DF50" s="4">
        <v>60</v>
      </c>
      <c r="DG50" s="4">
        <v>113</v>
      </c>
      <c r="DH50" s="4">
        <v>33</v>
      </c>
      <c r="DI50" s="4">
        <v>69</v>
      </c>
      <c r="DJ50" s="4">
        <v>65</v>
      </c>
      <c r="DK50" s="4">
        <v>112</v>
      </c>
      <c r="DL50" s="4">
        <v>110</v>
      </c>
      <c r="DM50" s="4">
        <v>70</v>
      </c>
      <c r="DN50" s="4">
        <v>115</v>
      </c>
      <c r="DO50" s="4">
        <v>85</v>
      </c>
      <c r="DP50" s="4">
        <v>115</v>
      </c>
      <c r="DQ50" s="4">
        <v>81</v>
      </c>
      <c r="DR50" s="4">
        <v>115</v>
      </c>
      <c r="DS50" s="4">
        <v>115</v>
      </c>
      <c r="DT50" s="4">
        <v>111</v>
      </c>
      <c r="DU50" s="4">
        <v>85</v>
      </c>
      <c r="DV50" s="4">
        <v>80</v>
      </c>
      <c r="DW50" s="4">
        <v>115</v>
      </c>
      <c r="DX50" s="4">
        <v>66</v>
      </c>
      <c r="DY50" s="4">
        <v>81</v>
      </c>
      <c r="DZ50" s="4">
        <v>112</v>
      </c>
      <c r="EA50" s="4">
        <v>100</v>
      </c>
      <c r="EB50" s="4">
        <v>100</v>
      </c>
      <c r="EC50" s="4">
        <v>64</v>
      </c>
      <c r="ED50" s="4">
        <v>55</v>
      </c>
      <c r="EE50" s="4">
        <v>79</v>
      </c>
      <c r="EF50" s="4">
        <v>12</v>
      </c>
      <c r="EG50" s="4">
        <v>61</v>
      </c>
      <c r="EH50" s="4">
        <v>75</v>
      </c>
      <c r="EI50" s="4">
        <v>71</v>
      </c>
      <c r="EJ50" s="4">
        <v>111</v>
      </c>
      <c r="EK50" s="4">
        <v>29</v>
      </c>
      <c r="EL50" s="4">
        <v>67</v>
      </c>
      <c r="EM50" s="4">
        <v>55</v>
      </c>
      <c r="EN50" s="4">
        <v>107</v>
      </c>
      <c r="EO50" s="4">
        <v>108</v>
      </c>
      <c r="EP50" s="4">
        <v>54</v>
      </c>
      <c r="EQ50" s="4">
        <v>115</v>
      </c>
      <c r="ER50" s="4">
        <v>54</v>
      </c>
      <c r="ES50" s="4">
        <v>115</v>
      </c>
      <c r="ET50" s="4">
        <v>102</v>
      </c>
      <c r="EU50" s="4">
        <v>112</v>
      </c>
      <c r="EV50" s="4">
        <v>115</v>
      </c>
      <c r="EW50" s="4">
        <v>94</v>
      </c>
      <c r="EX50" s="4">
        <v>97</v>
      </c>
      <c r="EY50" s="4">
        <v>107</v>
      </c>
      <c r="EZ50" s="4">
        <v>115</v>
      </c>
      <c r="FA50" s="4">
        <v>47</v>
      </c>
      <c r="FB50" s="4">
        <v>66</v>
      </c>
      <c r="FC50" s="4">
        <v>94</v>
      </c>
      <c r="FD50" s="4">
        <v>100</v>
      </c>
      <c r="FE50" s="4">
        <v>100</v>
      </c>
      <c r="FF50" s="4">
        <v>60</v>
      </c>
      <c r="FG50" s="4">
        <v>55</v>
      </c>
      <c r="FH50" s="4">
        <v>71</v>
      </c>
      <c r="FI50" s="4">
        <v>10</v>
      </c>
      <c r="FJ50" s="4">
        <v>60</v>
      </c>
      <c r="FK50" s="4">
        <v>78</v>
      </c>
      <c r="FL50" s="4">
        <v>71</v>
      </c>
      <c r="FM50" s="4">
        <v>111</v>
      </c>
      <c r="FN50" s="4">
        <v>32</v>
      </c>
      <c r="FO50" s="4">
        <v>67</v>
      </c>
      <c r="FP50" s="4">
        <v>49</v>
      </c>
      <c r="FQ50" s="4">
        <v>101</v>
      </c>
      <c r="FR50" s="4">
        <v>101</v>
      </c>
      <c r="FS50" s="4">
        <v>48</v>
      </c>
      <c r="FT50" s="4">
        <v>115</v>
      </c>
      <c r="FU50" s="4">
        <v>66</v>
      </c>
      <c r="FV50" s="4">
        <v>115</v>
      </c>
      <c r="FW50" s="4">
        <v>109</v>
      </c>
      <c r="FX50" s="4">
        <v>110</v>
      </c>
      <c r="FY50" s="4">
        <v>115</v>
      </c>
      <c r="FZ50" s="4">
        <v>84</v>
      </c>
      <c r="GA50" s="4">
        <v>92</v>
      </c>
      <c r="GB50" s="4">
        <v>108</v>
      </c>
      <c r="GC50" s="4">
        <v>115</v>
      </c>
      <c r="GD50" s="4">
        <v>43</v>
      </c>
      <c r="GE50" s="4">
        <v>59</v>
      </c>
      <c r="GF50" s="4">
        <v>85</v>
      </c>
      <c r="GG50" s="4">
        <v>100</v>
      </c>
      <c r="GH50" s="4">
        <v>100</v>
      </c>
      <c r="GJ50" s="4">
        <v>37</v>
      </c>
      <c r="GK50" s="4">
        <v>2</v>
      </c>
      <c r="GL50" s="4">
        <v>25</v>
      </c>
      <c r="GT50" s="4">
        <v>-86</v>
      </c>
      <c r="GU50" s="4">
        <v>-7</v>
      </c>
    </row>
    <row r="51" spans="1:203" hidden="1" x14ac:dyDescent="0.25">
      <c r="A51" s="12">
        <v>10</v>
      </c>
      <c r="B51" s="12">
        <f>IF('DATOS Y RESPUESTAS'!C23="v",1,0)</f>
        <v>1</v>
      </c>
      <c r="C51" s="6">
        <f>IF('DATOS Y RESPUESTAS'!C23="f",1,0)</f>
        <v>0</v>
      </c>
      <c r="D51" s="12">
        <v>35</v>
      </c>
      <c r="E51" s="12">
        <f>IF('DATOS Y RESPUESTAS'!E23="v",1,0)</f>
        <v>0</v>
      </c>
      <c r="F51" s="6">
        <f>IF('DATOS Y RESPUESTAS'!E23="f",1,0)</f>
        <v>1</v>
      </c>
      <c r="G51" s="6"/>
      <c r="H51" s="12">
        <v>60</v>
      </c>
      <c r="I51" s="12">
        <f>IF('DATOS Y RESPUESTAS'!G23="v",1,0)</f>
        <v>0</v>
      </c>
      <c r="J51" s="6">
        <f>IF('DATOS Y RESPUESTAS'!G23="f",1,0)</f>
        <v>1</v>
      </c>
      <c r="K51" s="12">
        <v>85</v>
      </c>
      <c r="L51" s="12">
        <f>IF('DATOS Y RESPUESTAS'!I23="v",1,0)</f>
        <v>0</v>
      </c>
      <c r="M51" s="6">
        <f>IF('DATOS Y RESPUESTAS'!I23="f",1,0)</f>
        <v>1</v>
      </c>
      <c r="N51" s="12">
        <v>110</v>
      </c>
      <c r="O51" s="12">
        <f>IF('DATOS Y RESPUESTAS'!K23="v",1,0)</f>
        <v>1</v>
      </c>
      <c r="P51" s="6">
        <f>IF('DATOS Y RESPUESTAS'!K23="f",1,0)</f>
        <v>0</v>
      </c>
      <c r="Q51" s="12">
        <v>135</v>
      </c>
      <c r="R51" s="12">
        <f>IF('DATOS Y RESPUESTAS'!M23="v",1,0)</f>
        <v>0</v>
      </c>
      <c r="S51" s="6">
        <f>IF('DATOS Y RESPUESTAS'!M23="f",1,0)</f>
        <v>1</v>
      </c>
      <c r="T51" s="6"/>
      <c r="U51" s="6"/>
      <c r="V51" s="12">
        <v>160</v>
      </c>
      <c r="W51" s="12"/>
      <c r="X51" s="12">
        <f>IF('DATOS Y RESPUESTAS'!O23="v",1,0)</f>
        <v>0</v>
      </c>
      <c r="Y51" s="6">
        <f>IF('DATOS Y RESPUESTAS'!O23="f",1,0)</f>
        <v>1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12"/>
      <c r="BT51" s="12"/>
      <c r="BV51" s="4">
        <v>36</v>
      </c>
      <c r="BW51" s="4">
        <v>75</v>
      </c>
      <c r="BX51" s="4">
        <v>79</v>
      </c>
      <c r="BY51" s="4">
        <v>87</v>
      </c>
      <c r="BZ51" s="4">
        <v>23</v>
      </c>
      <c r="CA51" s="4">
        <v>46</v>
      </c>
      <c r="CB51" s="4">
        <v>64</v>
      </c>
      <c r="CC51" s="4">
        <v>66</v>
      </c>
      <c r="CD51" s="4">
        <v>114</v>
      </c>
      <c r="CE51" s="4">
        <v>34</v>
      </c>
      <c r="CF51" s="4">
        <v>75</v>
      </c>
      <c r="CG51" s="4">
        <v>70</v>
      </c>
      <c r="CH51" s="4">
        <v>115</v>
      </c>
      <c r="CI51" s="4">
        <v>111</v>
      </c>
      <c r="CJ51" s="4">
        <v>74</v>
      </c>
      <c r="CK51" s="4">
        <v>115</v>
      </c>
      <c r="CL51" s="4">
        <v>70</v>
      </c>
      <c r="CM51" s="4">
        <v>115</v>
      </c>
      <c r="CN51" s="4">
        <v>85</v>
      </c>
      <c r="CO51" s="4">
        <v>114</v>
      </c>
      <c r="CP51" s="4">
        <v>115</v>
      </c>
      <c r="CQ51" s="4">
        <v>113</v>
      </c>
      <c r="CR51" s="4">
        <v>97</v>
      </c>
      <c r="CS51" s="4">
        <v>85</v>
      </c>
      <c r="CT51" s="4">
        <v>115</v>
      </c>
      <c r="CU51" s="4">
        <v>70</v>
      </c>
      <c r="CV51" s="4">
        <v>93</v>
      </c>
      <c r="CW51" s="4">
        <v>113</v>
      </c>
      <c r="CX51" s="4">
        <v>100</v>
      </c>
      <c r="CY51" s="4">
        <v>100</v>
      </c>
      <c r="CZ51" s="4">
        <v>72</v>
      </c>
      <c r="DA51" s="4">
        <v>75</v>
      </c>
      <c r="DB51" s="4">
        <v>91</v>
      </c>
      <c r="DC51" s="4">
        <v>22</v>
      </c>
      <c r="DD51" s="4">
        <v>44</v>
      </c>
      <c r="DE51" s="4">
        <v>59</v>
      </c>
      <c r="DF51" s="4">
        <v>62</v>
      </c>
      <c r="DG51" s="4">
        <v>113</v>
      </c>
      <c r="DH51" s="4">
        <v>35</v>
      </c>
      <c r="DI51" s="4">
        <v>72</v>
      </c>
      <c r="DJ51" s="4">
        <v>66</v>
      </c>
      <c r="DK51" s="4">
        <v>112</v>
      </c>
      <c r="DL51" s="4">
        <v>113</v>
      </c>
      <c r="DM51" s="4">
        <v>71</v>
      </c>
      <c r="DN51" s="4">
        <v>115</v>
      </c>
      <c r="DO51" s="4">
        <v>92</v>
      </c>
      <c r="DP51" s="4">
        <v>115</v>
      </c>
      <c r="DQ51" s="4">
        <v>85</v>
      </c>
      <c r="DR51" s="4">
        <v>115</v>
      </c>
      <c r="DS51" s="4">
        <v>115</v>
      </c>
      <c r="DT51" s="4">
        <v>111</v>
      </c>
      <c r="DU51" s="4">
        <v>88</v>
      </c>
      <c r="DV51" s="4">
        <v>85</v>
      </c>
      <c r="DW51" s="4">
        <v>115</v>
      </c>
      <c r="DX51" s="4">
        <v>68</v>
      </c>
      <c r="DY51" s="4">
        <v>85</v>
      </c>
      <c r="DZ51" s="4">
        <v>112</v>
      </c>
      <c r="EA51" s="4">
        <v>100</v>
      </c>
      <c r="EB51" s="4">
        <v>100</v>
      </c>
      <c r="EC51" s="4">
        <v>66</v>
      </c>
      <c r="ED51" s="4">
        <v>57</v>
      </c>
      <c r="EE51" s="4">
        <v>80</v>
      </c>
      <c r="EF51" s="4">
        <v>13</v>
      </c>
      <c r="EG51" s="4">
        <v>63</v>
      </c>
      <c r="EH51" s="4">
        <v>79</v>
      </c>
      <c r="EI51" s="4">
        <v>73</v>
      </c>
      <c r="EJ51" s="4">
        <v>113</v>
      </c>
      <c r="EK51" s="4">
        <v>32</v>
      </c>
      <c r="EL51" s="4">
        <v>70</v>
      </c>
      <c r="EM51" s="4">
        <v>56</v>
      </c>
      <c r="EN51" s="4">
        <v>109</v>
      </c>
      <c r="EO51" s="4">
        <v>110</v>
      </c>
      <c r="EP51" s="4">
        <v>56</v>
      </c>
      <c r="EQ51" s="4">
        <v>115</v>
      </c>
      <c r="ER51" s="4">
        <v>58</v>
      </c>
      <c r="ES51" s="4">
        <v>115</v>
      </c>
      <c r="ET51" s="4">
        <v>103</v>
      </c>
      <c r="EU51" s="4">
        <v>113</v>
      </c>
      <c r="EV51" s="4">
        <v>115</v>
      </c>
      <c r="EW51" s="4">
        <v>95</v>
      </c>
      <c r="EX51" s="4">
        <v>100</v>
      </c>
      <c r="EY51" s="4">
        <v>108</v>
      </c>
      <c r="EZ51" s="4">
        <v>115</v>
      </c>
      <c r="FA51" s="4">
        <v>50</v>
      </c>
      <c r="FB51" s="4">
        <v>68</v>
      </c>
      <c r="FC51" s="4">
        <v>96</v>
      </c>
      <c r="FD51" s="4">
        <v>100</v>
      </c>
      <c r="FE51" s="4">
        <v>100</v>
      </c>
      <c r="FF51" s="4">
        <v>62</v>
      </c>
      <c r="FG51" s="4">
        <v>57</v>
      </c>
      <c r="FH51" s="4">
        <v>73</v>
      </c>
      <c r="FI51" s="4">
        <v>13</v>
      </c>
      <c r="FJ51" s="4">
        <v>62</v>
      </c>
      <c r="FK51" s="4">
        <v>81</v>
      </c>
      <c r="FL51" s="4">
        <v>73</v>
      </c>
      <c r="FM51" s="4">
        <v>113</v>
      </c>
      <c r="FN51" s="4">
        <v>36</v>
      </c>
      <c r="FO51" s="4">
        <v>68</v>
      </c>
      <c r="FP51" s="4">
        <v>50</v>
      </c>
      <c r="FQ51" s="4">
        <v>104</v>
      </c>
      <c r="FR51" s="4">
        <v>105</v>
      </c>
      <c r="FS51" s="4">
        <v>50</v>
      </c>
      <c r="FT51" s="4">
        <v>115</v>
      </c>
      <c r="FU51" s="4">
        <v>70</v>
      </c>
      <c r="FV51" s="4">
        <v>115</v>
      </c>
      <c r="FW51" s="4">
        <v>109</v>
      </c>
      <c r="FX51" s="4">
        <v>110</v>
      </c>
      <c r="FY51" s="4">
        <v>115</v>
      </c>
      <c r="FZ51" s="4">
        <v>85</v>
      </c>
      <c r="GA51" s="4">
        <v>96</v>
      </c>
      <c r="GB51" s="4">
        <v>109</v>
      </c>
      <c r="GC51" s="4">
        <v>115</v>
      </c>
      <c r="GD51" s="4">
        <v>45</v>
      </c>
      <c r="GE51" s="4">
        <v>61</v>
      </c>
      <c r="GF51" s="4">
        <v>97</v>
      </c>
      <c r="GG51" s="4">
        <v>100</v>
      </c>
      <c r="GH51" s="4">
        <v>100</v>
      </c>
      <c r="GJ51" s="4">
        <v>38</v>
      </c>
      <c r="GK51" s="4">
        <v>2</v>
      </c>
      <c r="GL51" s="4">
        <v>25</v>
      </c>
      <c r="GT51" s="4">
        <v>-85</v>
      </c>
      <c r="GU51" s="4">
        <v>-7</v>
      </c>
    </row>
    <row r="52" spans="1:203" hidden="1" x14ac:dyDescent="0.25">
      <c r="A52" s="12">
        <v>11</v>
      </c>
      <c r="B52" s="12">
        <f>IF('DATOS Y RESPUESTAS'!C24="v",1,0)</f>
        <v>1</v>
      </c>
      <c r="C52" s="6">
        <f>IF('DATOS Y RESPUESTAS'!C24="f",1,0)</f>
        <v>0</v>
      </c>
      <c r="D52" s="12">
        <v>36</v>
      </c>
      <c r="E52" s="12">
        <f>IF('DATOS Y RESPUESTAS'!E24="v",1,0)</f>
        <v>1</v>
      </c>
      <c r="F52" s="6">
        <f>IF('DATOS Y RESPUESTAS'!E24="f",1,0)</f>
        <v>0</v>
      </c>
      <c r="G52" s="6"/>
      <c r="H52" s="12">
        <v>61</v>
      </c>
      <c r="I52" s="12">
        <f>IF('DATOS Y RESPUESTAS'!G24="v",1,0)</f>
        <v>0</v>
      </c>
      <c r="J52" s="6">
        <f>IF('DATOS Y RESPUESTAS'!G24="f",1,0)</f>
        <v>1</v>
      </c>
      <c r="K52" s="12">
        <v>86</v>
      </c>
      <c r="L52" s="12">
        <f>IF('DATOS Y RESPUESTAS'!I24="v",1,0)</f>
        <v>0</v>
      </c>
      <c r="M52" s="6">
        <f>IF('DATOS Y RESPUESTAS'!I24="f",1,0)</f>
        <v>1</v>
      </c>
      <c r="N52" s="12">
        <v>111</v>
      </c>
      <c r="O52" s="12">
        <f>IF('DATOS Y RESPUESTAS'!K24="v",1,0)</f>
        <v>0</v>
      </c>
      <c r="P52" s="6">
        <f>IF('DATOS Y RESPUESTAS'!K24="f",1,0)</f>
        <v>1</v>
      </c>
      <c r="Q52" s="12">
        <v>136</v>
      </c>
      <c r="R52" s="12">
        <f>IF('DATOS Y RESPUESTAS'!M24="v",1,0)</f>
        <v>0</v>
      </c>
      <c r="S52" s="6">
        <f>IF('DATOS Y RESPUESTAS'!M24="f",1,0)</f>
        <v>1</v>
      </c>
      <c r="T52" s="6"/>
      <c r="U52" s="6"/>
      <c r="V52" s="12"/>
      <c r="W52" s="12"/>
      <c r="X52" s="12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12"/>
      <c r="BT52" s="12"/>
      <c r="BV52" s="4">
        <v>37</v>
      </c>
      <c r="BW52" s="4">
        <v>76</v>
      </c>
      <c r="BX52" s="4">
        <v>81</v>
      </c>
      <c r="BY52" s="4">
        <v>90</v>
      </c>
      <c r="BZ52" s="4">
        <v>25</v>
      </c>
      <c r="CA52" s="4">
        <v>48</v>
      </c>
      <c r="CB52" s="4">
        <v>67</v>
      </c>
      <c r="CC52" s="4">
        <v>69</v>
      </c>
      <c r="CD52" s="4">
        <v>114</v>
      </c>
      <c r="CE52" s="4">
        <v>35</v>
      </c>
      <c r="CF52" s="4">
        <v>79</v>
      </c>
      <c r="CG52" s="4">
        <v>71</v>
      </c>
      <c r="CH52" s="4">
        <v>115</v>
      </c>
      <c r="CI52" s="4">
        <v>114</v>
      </c>
      <c r="CJ52" s="4">
        <v>75</v>
      </c>
      <c r="CK52" s="4">
        <v>115</v>
      </c>
      <c r="CL52" s="4">
        <v>73</v>
      </c>
      <c r="CM52" s="4">
        <v>115</v>
      </c>
      <c r="CN52" s="4">
        <v>90</v>
      </c>
      <c r="CO52" s="4">
        <v>114</v>
      </c>
      <c r="CP52" s="4">
        <v>115</v>
      </c>
      <c r="CQ52" s="4">
        <v>113</v>
      </c>
      <c r="CR52" s="4">
        <v>100</v>
      </c>
      <c r="CS52" s="4">
        <v>89</v>
      </c>
      <c r="CT52" s="4">
        <v>115</v>
      </c>
      <c r="CU52" s="4">
        <v>72</v>
      </c>
      <c r="CV52" s="4">
        <v>97</v>
      </c>
      <c r="CW52" s="4">
        <v>113</v>
      </c>
      <c r="CX52" s="4">
        <v>100</v>
      </c>
      <c r="CY52" s="4">
        <v>100</v>
      </c>
      <c r="CZ52" s="4">
        <v>73</v>
      </c>
      <c r="DA52" s="4">
        <v>79</v>
      </c>
      <c r="DB52" s="4">
        <v>91</v>
      </c>
      <c r="DC52" s="4">
        <v>26</v>
      </c>
      <c r="DD52" s="4">
        <v>47</v>
      </c>
      <c r="DE52" s="4">
        <v>64</v>
      </c>
      <c r="DF52" s="4">
        <v>65</v>
      </c>
      <c r="DG52" s="4">
        <v>115</v>
      </c>
      <c r="DH52" s="4">
        <v>40</v>
      </c>
      <c r="DI52" s="4">
        <v>73</v>
      </c>
      <c r="DJ52" s="4">
        <v>69</v>
      </c>
      <c r="DK52" s="4">
        <v>112</v>
      </c>
      <c r="DL52" s="4">
        <v>113</v>
      </c>
      <c r="DM52" s="4">
        <v>72</v>
      </c>
      <c r="DN52" s="4">
        <v>115</v>
      </c>
      <c r="DO52" s="4">
        <v>97</v>
      </c>
      <c r="DP52" s="4">
        <v>115</v>
      </c>
      <c r="DQ52" s="4">
        <v>96</v>
      </c>
      <c r="DR52" s="4">
        <v>115</v>
      </c>
      <c r="DS52" s="4">
        <v>115</v>
      </c>
      <c r="DT52" s="4">
        <v>111</v>
      </c>
      <c r="DU52" s="4">
        <v>88</v>
      </c>
      <c r="DV52" s="4">
        <v>88</v>
      </c>
      <c r="DW52" s="4">
        <v>115</v>
      </c>
      <c r="DX52" s="4">
        <v>71</v>
      </c>
      <c r="DY52" s="4">
        <v>86</v>
      </c>
      <c r="DZ52" s="4">
        <v>112</v>
      </c>
      <c r="EA52" s="4">
        <v>100</v>
      </c>
      <c r="EB52" s="4">
        <v>100</v>
      </c>
      <c r="EC52" s="4">
        <v>68</v>
      </c>
      <c r="ED52" s="4">
        <v>59</v>
      </c>
      <c r="EE52" s="4">
        <v>81</v>
      </c>
      <c r="EF52" s="4">
        <v>15</v>
      </c>
      <c r="EG52" s="4">
        <v>66</v>
      </c>
      <c r="EH52" s="4">
        <v>82</v>
      </c>
      <c r="EI52" s="4">
        <v>74</v>
      </c>
      <c r="EJ52" s="4">
        <v>113</v>
      </c>
      <c r="EK52" s="4">
        <v>35</v>
      </c>
      <c r="EL52" s="4">
        <v>72</v>
      </c>
      <c r="EM52" s="4">
        <v>57</v>
      </c>
      <c r="EN52" s="4">
        <v>111</v>
      </c>
      <c r="EO52" s="4">
        <v>111</v>
      </c>
      <c r="EP52" s="4">
        <v>57</v>
      </c>
      <c r="EQ52" s="4">
        <v>115</v>
      </c>
      <c r="ER52" s="4">
        <v>62</v>
      </c>
      <c r="ES52" s="4">
        <v>115</v>
      </c>
      <c r="ET52" s="4">
        <v>107</v>
      </c>
      <c r="EU52" s="4">
        <v>113</v>
      </c>
      <c r="EV52" s="4">
        <v>115</v>
      </c>
      <c r="EW52" s="4">
        <v>97</v>
      </c>
      <c r="EX52" s="4">
        <v>101</v>
      </c>
      <c r="EY52" s="4">
        <v>110</v>
      </c>
      <c r="EZ52" s="4">
        <v>115</v>
      </c>
      <c r="FA52" s="4">
        <v>54</v>
      </c>
      <c r="FB52" s="4">
        <v>70</v>
      </c>
      <c r="FC52" s="4">
        <v>103</v>
      </c>
      <c r="FD52" s="4">
        <v>100</v>
      </c>
      <c r="FE52" s="4">
        <v>100</v>
      </c>
      <c r="FF52" s="4">
        <v>65</v>
      </c>
      <c r="FG52" s="4">
        <v>59</v>
      </c>
      <c r="FH52" s="4">
        <v>75</v>
      </c>
      <c r="FI52" s="4">
        <v>15</v>
      </c>
      <c r="FJ52" s="4">
        <v>64</v>
      </c>
      <c r="FK52" s="4">
        <v>85</v>
      </c>
      <c r="FL52" s="4">
        <v>75</v>
      </c>
      <c r="FM52" s="4">
        <v>113</v>
      </c>
      <c r="FN52" s="4">
        <v>40</v>
      </c>
      <c r="FO52" s="4">
        <v>69</v>
      </c>
      <c r="FP52" s="4">
        <v>51</v>
      </c>
      <c r="FQ52" s="4">
        <v>108</v>
      </c>
      <c r="FR52" s="4">
        <v>107</v>
      </c>
      <c r="FS52" s="4">
        <v>51</v>
      </c>
      <c r="FT52" s="4">
        <v>115</v>
      </c>
      <c r="FU52" s="4">
        <v>73</v>
      </c>
      <c r="FV52" s="4">
        <v>115</v>
      </c>
      <c r="FW52" s="4">
        <v>111</v>
      </c>
      <c r="FX52" s="4">
        <v>112</v>
      </c>
      <c r="FY52" s="4">
        <v>115</v>
      </c>
      <c r="FZ52" s="4">
        <v>92</v>
      </c>
      <c r="GA52" s="4">
        <v>98</v>
      </c>
      <c r="GB52" s="4">
        <v>110</v>
      </c>
      <c r="GC52" s="4">
        <v>115</v>
      </c>
      <c r="GD52" s="4">
        <v>75</v>
      </c>
      <c r="GE52" s="4">
        <v>64</v>
      </c>
      <c r="GF52" s="4">
        <v>102</v>
      </c>
      <c r="GG52" s="4">
        <v>100</v>
      </c>
      <c r="GH52" s="4">
        <v>100</v>
      </c>
      <c r="GJ52" s="4">
        <v>39</v>
      </c>
      <c r="GK52" s="4">
        <v>2</v>
      </c>
      <c r="GL52" s="4">
        <v>25</v>
      </c>
      <c r="GT52" s="4">
        <v>-84</v>
      </c>
      <c r="GU52" s="4">
        <v>-7</v>
      </c>
    </row>
    <row r="53" spans="1:203" hidden="1" x14ac:dyDescent="0.25">
      <c r="A53" s="12">
        <v>12</v>
      </c>
      <c r="B53" s="12">
        <f>IF('DATOS Y RESPUESTAS'!C25="v",1,0)</f>
        <v>0</v>
      </c>
      <c r="C53" s="6">
        <f>IF('DATOS Y RESPUESTAS'!C25="f",1,0)</f>
        <v>1</v>
      </c>
      <c r="D53" s="12">
        <v>37</v>
      </c>
      <c r="E53" s="12">
        <f>IF('DATOS Y RESPUESTAS'!E25="v",1,0)</f>
        <v>1</v>
      </c>
      <c r="F53" s="6">
        <f>IF('DATOS Y RESPUESTAS'!E25="f",1,0)</f>
        <v>0</v>
      </c>
      <c r="G53" s="6"/>
      <c r="H53" s="12">
        <v>62</v>
      </c>
      <c r="I53" s="12">
        <f>IF('DATOS Y RESPUESTAS'!G25="v",1,0)</f>
        <v>1</v>
      </c>
      <c r="J53" s="6">
        <f>IF('DATOS Y RESPUESTAS'!G25="f",1,0)</f>
        <v>0</v>
      </c>
      <c r="K53" s="12">
        <v>87</v>
      </c>
      <c r="L53" s="12">
        <f>IF('DATOS Y RESPUESTAS'!I25="v",1,0)</f>
        <v>0</v>
      </c>
      <c r="M53" s="6">
        <f>IF('DATOS Y RESPUESTAS'!I25="f",1,0)</f>
        <v>1</v>
      </c>
      <c r="N53" s="12">
        <v>112</v>
      </c>
      <c r="O53" s="12">
        <f>IF('DATOS Y RESPUESTAS'!K25="v",1,0)</f>
        <v>0</v>
      </c>
      <c r="P53" s="6">
        <f>IF('DATOS Y RESPUESTAS'!K25="f",1,0)</f>
        <v>1</v>
      </c>
      <c r="Q53" s="12">
        <v>137</v>
      </c>
      <c r="R53" s="12">
        <f>IF('DATOS Y RESPUESTAS'!M25="v",1,0)</f>
        <v>1</v>
      </c>
      <c r="S53" s="6">
        <f>IF('DATOS Y RESPUESTAS'!M25="f",1,0)</f>
        <v>0</v>
      </c>
      <c r="T53" s="6"/>
      <c r="U53" s="6"/>
      <c r="V53" s="12"/>
      <c r="W53" s="12"/>
      <c r="X53" s="12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12"/>
      <c r="BT53" s="12"/>
      <c r="BV53" s="4">
        <v>38</v>
      </c>
      <c r="BW53" s="4">
        <v>79</v>
      </c>
      <c r="BX53" s="4">
        <v>82</v>
      </c>
      <c r="BY53" s="4">
        <v>95</v>
      </c>
      <c r="BZ53" s="4">
        <v>26</v>
      </c>
      <c r="CA53" s="4">
        <v>50</v>
      </c>
      <c r="CB53" s="4">
        <v>70</v>
      </c>
      <c r="CC53" s="4">
        <v>70</v>
      </c>
      <c r="CD53" s="4">
        <v>114</v>
      </c>
      <c r="CE53" s="4">
        <v>38</v>
      </c>
      <c r="CF53" s="4">
        <v>83</v>
      </c>
      <c r="CG53" s="4">
        <v>73</v>
      </c>
      <c r="CH53" s="4">
        <v>115</v>
      </c>
      <c r="CI53" s="4">
        <v>115</v>
      </c>
      <c r="CJ53" s="4">
        <v>78</v>
      </c>
      <c r="CK53" s="4">
        <v>115</v>
      </c>
      <c r="CL53" s="4">
        <v>75</v>
      </c>
      <c r="CM53" s="4">
        <v>115</v>
      </c>
      <c r="CN53" s="4">
        <v>93</v>
      </c>
      <c r="CO53" s="4">
        <v>114</v>
      </c>
      <c r="CP53" s="4">
        <v>115</v>
      </c>
      <c r="CQ53" s="4">
        <v>115</v>
      </c>
      <c r="CR53" s="4">
        <v>103</v>
      </c>
      <c r="CS53" s="4">
        <v>93</v>
      </c>
      <c r="CT53" s="4">
        <v>115</v>
      </c>
      <c r="CU53" s="4">
        <v>75</v>
      </c>
      <c r="CV53" s="4">
        <v>98</v>
      </c>
      <c r="CW53" s="4">
        <v>115</v>
      </c>
      <c r="CX53" s="4">
        <v>100</v>
      </c>
      <c r="CY53" s="4">
        <v>100</v>
      </c>
      <c r="CZ53" s="4">
        <v>74</v>
      </c>
      <c r="DA53" s="4">
        <v>79</v>
      </c>
      <c r="DB53" s="4">
        <v>94</v>
      </c>
      <c r="DC53" s="4">
        <v>32</v>
      </c>
      <c r="DD53" s="4">
        <v>50</v>
      </c>
      <c r="DE53" s="4">
        <v>65</v>
      </c>
      <c r="DF53" s="4">
        <v>66</v>
      </c>
      <c r="DG53" s="4">
        <v>115</v>
      </c>
      <c r="DH53" s="4">
        <v>43</v>
      </c>
      <c r="DI53" s="4">
        <v>75</v>
      </c>
      <c r="DJ53" s="4">
        <v>70</v>
      </c>
      <c r="DK53" s="4">
        <v>112</v>
      </c>
      <c r="DL53" s="4">
        <v>113</v>
      </c>
      <c r="DM53" s="4">
        <v>73</v>
      </c>
      <c r="DN53" s="4">
        <v>115</v>
      </c>
      <c r="DO53" s="4">
        <v>97</v>
      </c>
      <c r="DP53" s="4">
        <v>115</v>
      </c>
      <c r="DQ53" s="4">
        <v>99</v>
      </c>
      <c r="DR53" s="4">
        <v>115</v>
      </c>
      <c r="DS53" s="4">
        <v>115</v>
      </c>
      <c r="DT53" s="4">
        <v>111</v>
      </c>
      <c r="DU53" s="4">
        <v>91</v>
      </c>
      <c r="DV53" s="4">
        <v>91</v>
      </c>
      <c r="DW53" s="4">
        <v>115</v>
      </c>
      <c r="DX53" s="4">
        <v>75</v>
      </c>
      <c r="DY53" s="4">
        <v>87</v>
      </c>
      <c r="DZ53" s="4">
        <v>112</v>
      </c>
      <c r="EA53" s="4">
        <v>100</v>
      </c>
      <c r="EB53" s="4">
        <v>100</v>
      </c>
      <c r="EC53" s="4">
        <v>72</v>
      </c>
      <c r="ED53" s="4">
        <v>60</v>
      </c>
      <c r="EE53" s="4">
        <v>83</v>
      </c>
      <c r="EF53" s="4">
        <v>16</v>
      </c>
      <c r="EG53" s="4">
        <v>68</v>
      </c>
      <c r="EH53" s="4">
        <v>83</v>
      </c>
      <c r="EI53" s="4">
        <v>75</v>
      </c>
      <c r="EJ53" s="4">
        <v>113</v>
      </c>
      <c r="EK53" s="4">
        <v>37</v>
      </c>
      <c r="EL53" s="4">
        <v>74</v>
      </c>
      <c r="EM53" s="4">
        <v>58</v>
      </c>
      <c r="EN53" s="4">
        <v>112</v>
      </c>
      <c r="EO53" s="4">
        <v>115</v>
      </c>
      <c r="EP53" s="4">
        <v>58</v>
      </c>
      <c r="EQ53" s="4">
        <v>115</v>
      </c>
      <c r="ER53" s="4">
        <v>67</v>
      </c>
      <c r="ES53" s="4">
        <v>115</v>
      </c>
      <c r="ET53" s="4">
        <v>108</v>
      </c>
      <c r="EU53" s="4">
        <v>114</v>
      </c>
      <c r="EV53" s="4">
        <v>115</v>
      </c>
      <c r="EW53" s="4">
        <v>105</v>
      </c>
      <c r="EX53" s="4">
        <v>102</v>
      </c>
      <c r="EY53" s="4">
        <v>110</v>
      </c>
      <c r="EZ53" s="4">
        <v>115</v>
      </c>
      <c r="FA53" s="4">
        <v>58</v>
      </c>
      <c r="FB53" s="4">
        <v>71</v>
      </c>
      <c r="FC53" s="4">
        <v>110</v>
      </c>
      <c r="FD53" s="4">
        <v>100</v>
      </c>
      <c r="FE53" s="4">
        <v>100</v>
      </c>
      <c r="FF53" s="4">
        <v>67</v>
      </c>
      <c r="FG53" s="4">
        <v>61</v>
      </c>
      <c r="FH53" s="4">
        <v>77</v>
      </c>
      <c r="FI53" s="4">
        <v>17</v>
      </c>
      <c r="FJ53" s="4">
        <v>66</v>
      </c>
      <c r="FK53" s="4">
        <v>86</v>
      </c>
      <c r="FL53" s="4">
        <v>76</v>
      </c>
      <c r="FM53" s="4">
        <v>115</v>
      </c>
      <c r="FN53" s="4">
        <v>42</v>
      </c>
      <c r="FO53" s="4">
        <v>71</v>
      </c>
      <c r="FP53" s="4">
        <v>53</v>
      </c>
      <c r="FQ53" s="4">
        <v>110</v>
      </c>
      <c r="FR53" s="4">
        <v>114</v>
      </c>
      <c r="FS53" s="4">
        <v>52</v>
      </c>
      <c r="FT53" s="4">
        <v>115</v>
      </c>
      <c r="FU53" s="4">
        <v>75</v>
      </c>
      <c r="FV53" s="4">
        <v>115</v>
      </c>
      <c r="FW53" s="4">
        <v>111</v>
      </c>
      <c r="FX53" s="4">
        <v>114</v>
      </c>
      <c r="FY53" s="4">
        <v>115</v>
      </c>
      <c r="FZ53" s="4">
        <v>101</v>
      </c>
      <c r="GA53" s="4">
        <v>102</v>
      </c>
      <c r="GB53" s="4">
        <v>112</v>
      </c>
      <c r="GC53" s="4">
        <v>115</v>
      </c>
      <c r="GD53" s="4">
        <v>50</v>
      </c>
      <c r="GE53" s="4">
        <v>66</v>
      </c>
      <c r="GF53" s="4">
        <v>109</v>
      </c>
      <c r="GG53" s="4">
        <v>100</v>
      </c>
      <c r="GH53" s="4">
        <v>100</v>
      </c>
      <c r="GJ53" s="4">
        <v>40</v>
      </c>
      <c r="GK53" s="4">
        <v>2</v>
      </c>
      <c r="GL53" s="4">
        <v>25</v>
      </c>
      <c r="GT53" s="4">
        <v>-83</v>
      </c>
      <c r="GU53" s="4">
        <v>-7</v>
      </c>
    </row>
    <row r="54" spans="1:203" hidden="1" x14ac:dyDescent="0.25">
      <c r="A54" s="12">
        <v>13</v>
      </c>
      <c r="B54" s="12">
        <f>IF('DATOS Y RESPUESTAS'!C26="v",1,0)</f>
        <v>0</v>
      </c>
      <c r="C54" s="6">
        <f>IF('DATOS Y RESPUESTAS'!C26="f",1,0)</f>
        <v>1</v>
      </c>
      <c r="D54" s="12">
        <v>38</v>
      </c>
      <c r="E54" s="12">
        <f>IF('DATOS Y RESPUESTAS'!E26="v",1,0)</f>
        <v>1</v>
      </c>
      <c r="F54" s="6">
        <f>IF('DATOS Y RESPUESTAS'!E26="f",1,0)</f>
        <v>0</v>
      </c>
      <c r="G54" s="6"/>
      <c r="H54" s="12">
        <v>63</v>
      </c>
      <c r="I54" s="12">
        <f>IF('DATOS Y RESPUESTAS'!G26="v",1,0)</f>
        <v>1</v>
      </c>
      <c r="J54" s="6">
        <f>IF('DATOS Y RESPUESTAS'!G26="f",1,0)</f>
        <v>0</v>
      </c>
      <c r="K54" s="12">
        <v>88</v>
      </c>
      <c r="L54" s="12">
        <f>IF('DATOS Y RESPUESTAS'!I26="v",1,0)</f>
        <v>0</v>
      </c>
      <c r="M54" s="6">
        <f>IF('DATOS Y RESPUESTAS'!I26="f",1,0)</f>
        <v>1</v>
      </c>
      <c r="N54" s="12">
        <v>113</v>
      </c>
      <c r="O54" s="12">
        <f>IF('DATOS Y RESPUESTAS'!K26="v",1,0)</f>
        <v>0</v>
      </c>
      <c r="P54" s="6">
        <f>IF('DATOS Y RESPUESTAS'!K26="f",1,0)</f>
        <v>1</v>
      </c>
      <c r="Q54" s="12">
        <v>138</v>
      </c>
      <c r="R54" s="12">
        <f>IF('DATOS Y RESPUESTAS'!M26="v",1,0)</f>
        <v>0</v>
      </c>
      <c r="S54" s="6">
        <f>IF('DATOS Y RESPUESTAS'!M26="f",1,0)</f>
        <v>1</v>
      </c>
      <c r="T54" s="6"/>
      <c r="U54" s="6"/>
      <c r="V54" s="12"/>
      <c r="W54" s="12"/>
      <c r="X54" s="12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12"/>
      <c r="BT54" s="12"/>
      <c r="BV54" s="4">
        <v>39</v>
      </c>
      <c r="BW54" s="4">
        <v>82</v>
      </c>
      <c r="BX54" s="4">
        <v>83</v>
      </c>
      <c r="BY54" s="4">
        <v>100</v>
      </c>
      <c r="BZ54" s="4">
        <v>28</v>
      </c>
      <c r="CA54" s="4">
        <v>53</v>
      </c>
      <c r="CB54" s="4">
        <v>73</v>
      </c>
      <c r="CC54" s="4">
        <v>72</v>
      </c>
      <c r="CD54" s="4">
        <v>114</v>
      </c>
      <c r="CE54" s="4">
        <v>40</v>
      </c>
      <c r="CF54" s="4">
        <v>85</v>
      </c>
      <c r="CG54" s="4">
        <v>74</v>
      </c>
      <c r="CH54" s="4">
        <v>115</v>
      </c>
      <c r="CI54" s="4">
        <v>115</v>
      </c>
      <c r="CJ54" s="4">
        <v>79</v>
      </c>
      <c r="CK54" s="4">
        <v>115</v>
      </c>
      <c r="CL54" s="4">
        <v>82</v>
      </c>
      <c r="CM54" s="4">
        <v>115</v>
      </c>
      <c r="CN54" s="4">
        <v>96</v>
      </c>
      <c r="CO54" s="4">
        <v>114</v>
      </c>
      <c r="CP54" s="4">
        <v>115</v>
      </c>
      <c r="CQ54" s="4">
        <v>115</v>
      </c>
      <c r="CR54" s="4">
        <v>104</v>
      </c>
      <c r="CS54" s="4">
        <v>95</v>
      </c>
      <c r="CT54" s="4">
        <v>115</v>
      </c>
      <c r="CU54" s="4">
        <v>79</v>
      </c>
      <c r="CV54" s="4">
        <v>100</v>
      </c>
      <c r="CW54" s="4">
        <v>115</v>
      </c>
      <c r="CX54" s="4">
        <v>100</v>
      </c>
      <c r="CY54" s="4">
        <v>100</v>
      </c>
      <c r="CZ54" s="4">
        <v>75</v>
      </c>
      <c r="DA54" s="4">
        <v>81</v>
      </c>
      <c r="DB54" s="4">
        <v>94</v>
      </c>
      <c r="DC54" s="4">
        <v>33</v>
      </c>
      <c r="DD54" s="4">
        <v>53</v>
      </c>
      <c r="DE54" s="4">
        <v>68</v>
      </c>
      <c r="DF54" s="4">
        <v>68</v>
      </c>
      <c r="DG54" s="4">
        <v>115</v>
      </c>
      <c r="DH54" s="4">
        <v>45</v>
      </c>
      <c r="DI54" s="4">
        <v>82</v>
      </c>
      <c r="DJ54" s="4">
        <v>70</v>
      </c>
      <c r="DK54" s="4">
        <v>115</v>
      </c>
      <c r="DL54" s="4">
        <v>115</v>
      </c>
      <c r="DM54" s="4">
        <v>74</v>
      </c>
      <c r="DN54" s="4">
        <v>115</v>
      </c>
      <c r="DO54" s="4">
        <v>100</v>
      </c>
      <c r="DP54" s="4">
        <v>115</v>
      </c>
      <c r="DQ54" s="4">
        <v>104</v>
      </c>
      <c r="DR54" s="4">
        <v>115</v>
      </c>
      <c r="DS54" s="4">
        <v>115</v>
      </c>
      <c r="DT54" s="4">
        <v>111</v>
      </c>
      <c r="DU54" s="4">
        <v>95</v>
      </c>
      <c r="DV54" s="4">
        <v>95</v>
      </c>
      <c r="DW54" s="4">
        <v>115</v>
      </c>
      <c r="DX54" s="4">
        <v>77</v>
      </c>
      <c r="DY54" s="4">
        <v>92</v>
      </c>
      <c r="DZ54" s="4">
        <v>115</v>
      </c>
      <c r="EA54" s="4">
        <v>100</v>
      </c>
      <c r="EB54" s="4">
        <v>100</v>
      </c>
      <c r="EC54" s="4">
        <v>73</v>
      </c>
      <c r="ED54" s="4">
        <v>62</v>
      </c>
      <c r="EE54" s="4">
        <v>85</v>
      </c>
      <c r="EF54" s="4">
        <v>20</v>
      </c>
      <c r="EG54" s="4">
        <v>70</v>
      </c>
      <c r="EH54" s="4">
        <v>85</v>
      </c>
      <c r="EI54" s="4">
        <v>76</v>
      </c>
      <c r="EJ54" s="4">
        <v>113</v>
      </c>
      <c r="EK54" s="4">
        <v>40</v>
      </c>
      <c r="EL54" s="4">
        <v>75</v>
      </c>
      <c r="EM54" s="4">
        <v>59</v>
      </c>
      <c r="EN54" s="4">
        <v>113</v>
      </c>
      <c r="EO54" s="4">
        <v>115</v>
      </c>
      <c r="EP54" s="4">
        <v>60</v>
      </c>
      <c r="EQ54" s="4">
        <v>115</v>
      </c>
      <c r="ER54" s="4">
        <v>71</v>
      </c>
      <c r="ES54" s="4">
        <v>115</v>
      </c>
      <c r="ET54" s="4">
        <v>109</v>
      </c>
      <c r="EU54" s="4">
        <v>114</v>
      </c>
      <c r="EV54" s="4">
        <v>115</v>
      </c>
      <c r="EW54" s="4">
        <v>106</v>
      </c>
      <c r="EX54" s="4">
        <v>105</v>
      </c>
      <c r="EY54" s="4">
        <v>110</v>
      </c>
      <c r="EZ54" s="4">
        <v>115</v>
      </c>
      <c r="FA54" s="4">
        <v>61</v>
      </c>
      <c r="FB54" s="4">
        <v>73</v>
      </c>
      <c r="FC54" s="4">
        <v>113</v>
      </c>
      <c r="FD54" s="4">
        <v>100</v>
      </c>
      <c r="FE54" s="4">
        <v>100</v>
      </c>
      <c r="FF54" s="4">
        <v>68</v>
      </c>
      <c r="FG54" s="4">
        <v>63</v>
      </c>
      <c r="FH54" s="4">
        <v>80</v>
      </c>
      <c r="FI54" s="4">
        <v>20</v>
      </c>
      <c r="FJ54" s="4">
        <v>68</v>
      </c>
      <c r="FK54" s="4">
        <v>91</v>
      </c>
      <c r="FL54" s="4">
        <v>78</v>
      </c>
      <c r="FM54" s="4">
        <v>115</v>
      </c>
      <c r="FN54" s="4">
        <v>45</v>
      </c>
      <c r="FO54" s="4">
        <v>72</v>
      </c>
      <c r="FP54" s="4">
        <v>54</v>
      </c>
      <c r="FQ54" s="4">
        <v>112</v>
      </c>
      <c r="FR54" s="4">
        <v>114</v>
      </c>
      <c r="FS54" s="4">
        <v>53</v>
      </c>
      <c r="FT54" s="4">
        <v>115</v>
      </c>
      <c r="FU54" s="4">
        <v>79</v>
      </c>
      <c r="FV54" s="4">
        <v>115</v>
      </c>
      <c r="FW54" s="4">
        <v>111</v>
      </c>
      <c r="FX54" s="4">
        <v>115</v>
      </c>
      <c r="FY54" s="4">
        <v>115</v>
      </c>
      <c r="FZ54" s="4">
        <v>103</v>
      </c>
      <c r="GA54" s="4">
        <v>103</v>
      </c>
      <c r="GB54" s="4">
        <v>112</v>
      </c>
      <c r="GC54" s="4">
        <v>115</v>
      </c>
      <c r="GD54" s="4">
        <v>53</v>
      </c>
      <c r="GE54" s="4">
        <v>68</v>
      </c>
      <c r="GF54" s="4">
        <v>114</v>
      </c>
      <c r="GG54" s="4">
        <v>100</v>
      </c>
      <c r="GH54" s="4">
        <v>100</v>
      </c>
      <c r="GJ54" s="4">
        <v>41</v>
      </c>
      <c r="GK54" s="4">
        <v>2</v>
      </c>
      <c r="GL54" s="4">
        <v>25</v>
      </c>
      <c r="GT54" s="4">
        <v>-82</v>
      </c>
      <c r="GU54" s="4">
        <v>-7</v>
      </c>
    </row>
    <row r="55" spans="1:203" hidden="1" x14ac:dyDescent="0.25">
      <c r="A55" s="12">
        <v>14</v>
      </c>
      <c r="B55" s="12">
        <f>IF('DATOS Y RESPUESTAS'!C27="v",1,0)</f>
        <v>1</v>
      </c>
      <c r="C55" s="6">
        <f>IF('DATOS Y RESPUESTAS'!C27="f",1,0)</f>
        <v>0</v>
      </c>
      <c r="D55" s="12">
        <v>39</v>
      </c>
      <c r="E55" s="12">
        <f>IF('DATOS Y RESPUESTAS'!E27="v",1,0)</f>
        <v>0</v>
      </c>
      <c r="F55" s="6">
        <f>IF('DATOS Y RESPUESTAS'!E27="f",1,0)</f>
        <v>1</v>
      </c>
      <c r="G55" s="6"/>
      <c r="H55" s="12">
        <v>64</v>
      </c>
      <c r="I55" s="12">
        <f>IF('DATOS Y RESPUESTAS'!G27="v",1,0)</f>
        <v>0</v>
      </c>
      <c r="J55" s="6">
        <f>IF('DATOS Y RESPUESTAS'!G27="f",1,0)</f>
        <v>1</v>
      </c>
      <c r="K55" s="12">
        <v>89</v>
      </c>
      <c r="L55" s="12">
        <f>IF('DATOS Y RESPUESTAS'!I27="v",1,0)</f>
        <v>0</v>
      </c>
      <c r="M55" s="6">
        <f>IF('DATOS Y RESPUESTAS'!I27="f",1,0)</f>
        <v>1</v>
      </c>
      <c r="N55" s="12">
        <v>114</v>
      </c>
      <c r="O55" s="12">
        <f>IF('DATOS Y RESPUESTAS'!K27="v",1,0)</f>
        <v>0</v>
      </c>
      <c r="P55" s="6">
        <f>IF('DATOS Y RESPUESTAS'!K27="f",1,0)</f>
        <v>1</v>
      </c>
      <c r="Q55" s="12">
        <v>139</v>
      </c>
      <c r="R55" s="12">
        <f>IF('DATOS Y RESPUESTAS'!M27="v",1,0)</f>
        <v>0</v>
      </c>
      <c r="S55" s="6">
        <f>IF('DATOS Y RESPUESTAS'!M27="f",1,0)</f>
        <v>1</v>
      </c>
      <c r="T55" s="6"/>
      <c r="U55" s="6"/>
      <c r="V55" s="12"/>
      <c r="W55" s="12"/>
      <c r="X55" s="12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12"/>
      <c r="BT55" s="12"/>
      <c r="BV55" s="4">
        <v>40</v>
      </c>
      <c r="BW55" s="4">
        <v>83</v>
      </c>
      <c r="BX55" s="4">
        <v>85</v>
      </c>
      <c r="BY55" s="4">
        <v>103</v>
      </c>
      <c r="BZ55" s="4">
        <v>31</v>
      </c>
      <c r="CA55" s="4">
        <v>56</v>
      </c>
      <c r="CB55" s="4">
        <v>75</v>
      </c>
      <c r="CC55" s="4">
        <v>73</v>
      </c>
      <c r="CD55" s="4">
        <v>115</v>
      </c>
      <c r="CE55" s="4">
        <v>42</v>
      </c>
      <c r="CF55" s="4">
        <v>87</v>
      </c>
      <c r="CG55" s="4">
        <v>75</v>
      </c>
      <c r="CH55" s="4">
        <v>115</v>
      </c>
      <c r="CI55" s="4">
        <v>115</v>
      </c>
      <c r="CJ55" s="4">
        <v>81</v>
      </c>
      <c r="CK55" s="4">
        <v>115</v>
      </c>
      <c r="CL55" s="4">
        <v>85</v>
      </c>
      <c r="CM55" s="4">
        <v>115</v>
      </c>
      <c r="CN55" s="4">
        <v>99</v>
      </c>
      <c r="CO55" s="4">
        <v>115</v>
      </c>
      <c r="CP55" s="4">
        <v>115</v>
      </c>
      <c r="CQ55" s="4">
        <v>115</v>
      </c>
      <c r="CR55" s="4">
        <v>104</v>
      </c>
      <c r="CS55" s="4">
        <v>97</v>
      </c>
      <c r="CT55" s="4">
        <v>115</v>
      </c>
      <c r="CU55" s="4">
        <v>83</v>
      </c>
      <c r="CV55" s="4">
        <v>101</v>
      </c>
      <c r="CW55" s="4">
        <v>115</v>
      </c>
      <c r="CX55" s="4">
        <v>100</v>
      </c>
      <c r="CY55" s="4">
        <v>100</v>
      </c>
      <c r="CZ55" s="4">
        <v>76</v>
      </c>
      <c r="DA55" s="4">
        <v>81</v>
      </c>
      <c r="DB55" s="4">
        <v>97</v>
      </c>
      <c r="DC55" s="4">
        <v>35</v>
      </c>
      <c r="DD55" s="4">
        <v>56</v>
      </c>
      <c r="DE55" s="4">
        <v>71</v>
      </c>
      <c r="DF55" s="4">
        <v>71</v>
      </c>
      <c r="DG55" s="4">
        <v>115</v>
      </c>
      <c r="DH55" s="4">
        <v>45</v>
      </c>
      <c r="DI55" s="4">
        <v>85</v>
      </c>
      <c r="DJ55" s="4">
        <v>71</v>
      </c>
      <c r="DK55" s="4">
        <v>115</v>
      </c>
      <c r="DL55" s="4">
        <v>115</v>
      </c>
      <c r="DM55" s="4">
        <v>74</v>
      </c>
      <c r="DN55" s="4">
        <v>115</v>
      </c>
      <c r="DO55" s="4">
        <v>105</v>
      </c>
      <c r="DP55" s="4">
        <v>115</v>
      </c>
      <c r="DQ55" s="4">
        <v>110</v>
      </c>
      <c r="DR55" s="4">
        <v>115</v>
      </c>
      <c r="DS55" s="4">
        <v>115</v>
      </c>
      <c r="DT55" s="4">
        <v>111</v>
      </c>
      <c r="DU55" s="4">
        <v>98</v>
      </c>
      <c r="DV55" s="4">
        <v>108</v>
      </c>
      <c r="DW55" s="4">
        <v>115</v>
      </c>
      <c r="DX55" s="4">
        <v>79</v>
      </c>
      <c r="DY55" s="4">
        <v>92</v>
      </c>
      <c r="DZ55" s="4">
        <v>115</v>
      </c>
      <c r="EA55" s="4">
        <v>100</v>
      </c>
      <c r="EB55" s="4">
        <v>100</v>
      </c>
      <c r="EC55" s="4">
        <v>74</v>
      </c>
      <c r="ED55" s="4">
        <v>64</v>
      </c>
      <c r="EE55" s="4">
        <v>90</v>
      </c>
      <c r="EF55" s="4">
        <v>21</v>
      </c>
      <c r="EG55" s="4">
        <v>72</v>
      </c>
      <c r="EH55" s="4">
        <v>92</v>
      </c>
      <c r="EI55" s="4">
        <v>79</v>
      </c>
      <c r="EJ55" s="4">
        <v>114</v>
      </c>
      <c r="EK55" s="4">
        <v>42</v>
      </c>
      <c r="EL55" s="4">
        <v>78</v>
      </c>
      <c r="EM55" s="4">
        <v>61</v>
      </c>
      <c r="EN55" s="4">
        <v>115</v>
      </c>
      <c r="EO55" s="4">
        <v>115</v>
      </c>
      <c r="EP55" s="4">
        <v>62</v>
      </c>
      <c r="EQ55" s="4">
        <v>115</v>
      </c>
      <c r="ER55" s="4">
        <v>73</v>
      </c>
      <c r="ES55" s="4">
        <v>115</v>
      </c>
      <c r="ET55" s="4">
        <v>111</v>
      </c>
      <c r="EU55" s="4">
        <v>114</v>
      </c>
      <c r="EV55" s="4">
        <v>115</v>
      </c>
      <c r="EW55" s="4">
        <v>107</v>
      </c>
      <c r="EX55" s="4">
        <v>107</v>
      </c>
      <c r="EY55" s="4">
        <v>111</v>
      </c>
      <c r="EZ55" s="4">
        <v>115</v>
      </c>
      <c r="FA55" s="4">
        <v>64</v>
      </c>
      <c r="FB55" s="4">
        <v>75</v>
      </c>
      <c r="FC55" s="4">
        <v>114</v>
      </c>
      <c r="FD55" s="4">
        <v>100</v>
      </c>
      <c r="FE55" s="4">
        <v>100</v>
      </c>
      <c r="FF55" s="4">
        <v>70</v>
      </c>
      <c r="FG55" s="4">
        <v>64</v>
      </c>
      <c r="FH55" s="4">
        <v>85</v>
      </c>
      <c r="FI55" s="4">
        <v>23</v>
      </c>
      <c r="FJ55" s="4">
        <v>70</v>
      </c>
      <c r="FK55" s="4">
        <v>97</v>
      </c>
      <c r="FL55" s="4">
        <v>80</v>
      </c>
      <c r="FM55" s="4">
        <v>115</v>
      </c>
      <c r="FN55" s="4">
        <v>48</v>
      </c>
      <c r="FO55" s="4">
        <v>73</v>
      </c>
      <c r="FP55" s="4">
        <v>56</v>
      </c>
      <c r="FQ55" s="4">
        <v>115</v>
      </c>
      <c r="FR55" s="4">
        <v>114</v>
      </c>
      <c r="FS55" s="4">
        <v>55</v>
      </c>
      <c r="FT55" s="4">
        <v>115</v>
      </c>
      <c r="FU55" s="4">
        <v>83</v>
      </c>
      <c r="FV55" s="4">
        <v>115</v>
      </c>
      <c r="FW55" s="4">
        <v>111</v>
      </c>
      <c r="FX55" s="4">
        <v>115</v>
      </c>
      <c r="FY55" s="4">
        <v>115</v>
      </c>
      <c r="FZ55" s="4">
        <v>103</v>
      </c>
      <c r="GA55" s="4">
        <v>103</v>
      </c>
      <c r="GB55" s="4">
        <v>113</v>
      </c>
      <c r="GC55" s="4">
        <v>115</v>
      </c>
      <c r="GD55" s="4">
        <v>57</v>
      </c>
      <c r="GE55" s="4">
        <v>69</v>
      </c>
      <c r="GF55" s="4">
        <v>114</v>
      </c>
      <c r="GG55" s="4">
        <v>100</v>
      </c>
      <c r="GH55" s="4">
        <v>100</v>
      </c>
      <c r="GJ55" s="4">
        <v>42</v>
      </c>
      <c r="GK55" s="4">
        <v>2</v>
      </c>
      <c r="GL55" s="4">
        <v>25</v>
      </c>
      <c r="GT55" s="4">
        <v>-81</v>
      </c>
      <c r="GU55" s="4">
        <v>-7</v>
      </c>
    </row>
    <row r="56" spans="1:203" hidden="1" x14ac:dyDescent="0.25">
      <c r="A56" s="12">
        <v>15</v>
      </c>
      <c r="B56" s="12">
        <f>IF('DATOS Y RESPUESTAS'!C28="v",1,0)</f>
        <v>0</v>
      </c>
      <c r="C56" s="6">
        <f>IF('DATOS Y RESPUESTAS'!C28="f",1,0)</f>
        <v>1</v>
      </c>
      <c r="D56" s="12">
        <v>40</v>
      </c>
      <c r="E56" s="12">
        <f>IF('DATOS Y RESPUESTAS'!E28="v",1,0)</f>
        <v>0</v>
      </c>
      <c r="F56" s="6">
        <f>IF('DATOS Y RESPUESTAS'!E28="f",1,0)</f>
        <v>1</v>
      </c>
      <c r="G56" s="6"/>
      <c r="H56" s="12">
        <v>65</v>
      </c>
      <c r="I56" s="12">
        <f>IF('DATOS Y RESPUESTAS'!G28="v",1,0)</f>
        <v>0</v>
      </c>
      <c r="J56" s="6">
        <f>IF('DATOS Y RESPUESTAS'!G28="f",1,0)</f>
        <v>1</v>
      </c>
      <c r="K56" s="12">
        <v>90</v>
      </c>
      <c r="L56" s="12">
        <f>IF('DATOS Y RESPUESTAS'!I28="v",1,0)</f>
        <v>0</v>
      </c>
      <c r="M56" s="6">
        <f>IF('DATOS Y RESPUESTAS'!I28="f",1,0)</f>
        <v>1</v>
      </c>
      <c r="N56" s="12">
        <v>115</v>
      </c>
      <c r="O56" s="12">
        <f>IF('DATOS Y RESPUESTAS'!K28="v",1,0)</f>
        <v>0</v>
      </c>
      <c r="P56" s="6">
        <f>IF('DATOS Y RESPUESTAS'!K28="f",1,0)</f>
        <v>1</v>
      </c>
      <c r="Q56" s="12">
        <v>140</v>
      </c>
      <c r="R56" s="12">
        <f>IF('DATOS Y RESPUESTAS'!M28="v",1,0)</f>
        <v>0</v>
      </c>
      <c r="S56" s="6">
        <f>IF('DATOS Y RESPUESTAS'!M28="f",1,0)</f>
        <v>1</v>
      </c>
      <c r="T56" s="6"/>
      <c r="U56" s="6"/>
      <c r="V56" s="12"/>
      <c r="W56" s="12"/>
      <c r="X56" s="12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12"/>
      <c r="BT56" s="12"/>
      <c r="BV56" s="4">
        <v>41</v>
      </c>
      <c r="BW56" s="4">
        <v>84</v>
      </c>
      <c r="BX56" s="4">
        <v>86</v>
      </c>
      <c r="BY56" s="4">
        <v>107</v>
      </c>
      <c r="BZ56" s="4">
        <v>34</v>
      </c>
      <c r="CA56" s="4">
        <v>58</v>
      </c>
      <c r="CB56" s="4">
        <v>80</v>
      </c>
      <c r="CC56" s="4">
        <v>74</v>
      </c>
      <c r="CD56" s="4">
        <v>115</v>
      </c>
      <c r="CE56" s="4">
        <v>43</v>
      </c>
      <c r="CF56" s="4">
        <v>90</v>
      </c>
      <c r="CG56" s="4">
        <v>77</v>
      </c>
      <c r="CH56" s="4">
        <v>115</v>
      </c>
      <c r="CI56" s="4">
        <v>115</v>
      </c>
      <c r="CJ56" s="4">
        <v>82</v>
      </c>
      <c r="CK56" s="4">
        <v>115</v>
      </c>
      <c r="CL56" s="4">
        <v>93</v>
      </c>
      <c r="CM56" s="4">
        <v>115</v>
      </c>
      <c r="CN56" s="4">
        <v>102</v>
      </c>
      <c r="CO56" s="4">
        <v>115</v>
      </c>
      <c r="CP56" s="4">
        <v>115</v>
      </c>
      <c r="CQ56" s="4">
        <v>115</v>
      </c>
      <c r="CR56" s="4">
        <v>105</v>
      </c>
      <c r="CS56" s="4">
        <v>99</v>
      </c>
      <c r="CT56" s="4">
        <v>115</v>
      </c>
      <c r="CU56" s="4">
        <v>85</v>
      </c>
      <c r="CV56" s="4">
        <v>102</v>
      </c>
      <c r="CW56" s="4">
        <v>115</v>
      </c>
      <c r="CX56" s="4">
        <v>100</v>
      </c>
      <c r="CY56" s="4">
        <v>100</v>
      </c>
      <c r="CZ56" s="4">
        <v>78</v>
      </c>
      <c r="DA56" s="4">
        <v>83</v>
      </c>
      <c r="DB56" s="4">
        <v>100</v>
      </c>
      <c r="DC56" s="4">
        <v>37</v>
      </c>
      <c r="DD56" s="4">
        <v>59</v>
      </c>
      <c r="DE56" s="4">
        <v>72</v>
      </c>
      <c r="DF56" s="4">
        <v>73</v>
      </c>
      <c r="DG56" s="4">
        <v>115</v>
      </c>
      <c r="DH56" s="4">
        <v>46</v>
      </c>
      <c r="DI56" s="4">
        <v>92</v>
      </c>
      <c r="DJ56" s="4">
        <v>72</v>
      </c>
      <c r="DK56" s="4">
        <v>115</v>
      </c>
      <c r="DL56" s="4">
        <v>115</v>
      </c>
      <c r="DM56" s="4">
        <v>74</v>
      </c>
      <c r="DN56" s="4">
        <v>115</v>
      </c>
      <c r="DO56" s="4">
        <v>108</v>
      </c>
      <c r="DP56" s="4">
        <v>115</v>
      </c>
      <c r="DQ56" s="4">
        <v>113</v>
      </c>
      <c r="DR56" s="4">
        <v>115</v>
      </c>
      <c r="DS56" s="4">
        <v>115</v>
      </c>
      <c r="DT56" s="4">
        <v>115</v>
      </c>
      <c r="DU56" s="4">
        <v>103</v>
      </c>
      <c r="DV56" s="4">
        <v>108</v>
      </c>
      <c r="DW56" s="4">
        <v>115</v>
      </c>
      <c r="DX56" s="4">
        <v>85</v>
      </c>
      <c r="DY56" s="4">
        <v>99</v>
      </c>
      <c r="DZ56" s="4">
        <v>115</v>
      </c>
      <c r="EA56" s="4">
        <v>100</v>
      </c>
      <c r="EB56" s="4">
        <v>100</v>
      </c>
      <c r="EC56" s="4">
        <v>75</v>
      </c>
      <c r="ED56" s="4">
        <v>67</v>
      </c>
      <c r="EE56" s="4">
        <v>97</v>
      </c>
      <c r="EF56" s="4">
        <v>23</v>
      </c>
      <c r="EG56" s="4">
        <v>74</v>
      </c>
      <c r="EH56" s="4">
        <v>96</v>
      </c>
      <c r="EI56" s="4">
        <v>82</v>
      </c>
      <c r="EJ56" s="4">
        <v>114</v>
      </c>
      <c r="EK56" s="4">
        <v>45</v>
      </c>
      <c r="EL56" s="4">
        <v>80</v>
      </c>
      <c r="EM56" s="4">
        <v>63</v>
      </c>
      <c r="EN56" s="4">
        <v>115</v>
      </c>
      <c r="EO56" s="4">
        <v>115</v>
      </c>
      <c r="EP56" s="4">
        <v>63</v>
      </c>
      <c r="EQ56" s="4">
        <v>115</v>
      </c>
      <c r="ER56" s="4">
        <v>75</v>
      </c>
      <c r="ES56" s="4">
        <v>115</v>
      </c>
      <c r="ET56" s="4">
        <v>111</v>
      </c>
      <c r="EU56" s="4">
        <v>114</v>
      </c>
      <c r="EV56" s="4">
        <v>115</v>
      </c>
      <c r="EW56" s="4">
        <v>113</v>
      </c>
      <c r="EX56" s="4">
        <v>110</v>
      </c>
      <c r="EY56" s="4">
        <v>112</v>
      </c>
      <c r="EZ56" s="4">
        <v>115</v>
      </c>
      <c r="FA56" s="4">
        <v>68</v>
      </c>
      <c r="FB56" s="4">
        <v>78</v>
      </c>
      <c r="FC56" s="4">
        <v>115</v>
      </c>
      <c r="FD56" s="4">
        <v>100</v>
      </c>
      <c r="FE56" s="4">
        <v>100</v>
      </c>
      <c r="FF56" s="4">
        <v>72</v>
      </c>
      <c r="FG56" s="4">
        <v>65</v>
      </c>
      <c r="FH56" s="4">
        <v>94</v>
      </c>
      <c r="FI56" s="4">
        <v>24</v>
      </c>
      <c r="FJ56" s="4">
        <v>72</v>
      </c>
      <c r="FK56" s="4">
        <v>99</v>
      </c>
      <c r="FL56" s="4">
        <v>82</v>
      </c>
      <c r="FM56" s="4">
        <v>115</v>
      </c>
      <c r="FN56" s="4">
        <v>49</v>
      </c>
      <c r="FO56" s="4">
        <v>75</v>
      </c>
      <c r="FP56" s="4">
        <v>57</v>
      </c>
      <c r="FQ56" s="4">
        <v>115</v>
      </c>
      <c r="FR56" s="4">
        <v>115</v>
      </c>
      <c r="FS56" s="4">
        <v>57</v>
      </c>
      <c r="FT56" s="4">
        <v>115</v>
      </c>
      <c r="FU56" s="4">
        <v>85</v>
      </c>
      <c r="FV56" s="4">
        <v>115</v>
      </c>
      <c r="FW56" s="4">
        <v>114</v>
      </c>
      <c r="FX56" s="4">
        <v>115</v>
      </c>
      <c r="FY56" s="4">
        <v>115</v>
      </c>
      <c r="FZ56" s="4">
        <v>110</v>
      </c>
      <c r="GA56" s="4">
        <v>108</v>
      </c>
      <c r="GB56" s="4">
        <v>115</v>
      </c>
      <c r="GC56" s="4">
        <v>115</v>
      </c>
      <c r="GD56" s="4">
        <v>62</v>
      </c>
      <c r="GE56" s="4">
        <v>71</v>
      </c>
      <c r="GF56" s="4">
        <v>115</v>
      </c>
      <c r="GG56" s="4">
        <v>100</v>
      </c>
      <c r="GH56" s="4">
        <v>100</v>
      </c>
      <c r="GJ56" s="4">
        <v>43</v>
      </c>
      <c r="GK56" s="4">
        <v>2</v>
      </c>
      <c r="GL56" s="4">
        <v>25</v>
      </c>
      <c r="GT56" s="4">
        <v>-80</v>
      </c>
      <c r="GU56" s="4">
        <v>-7</v>
      </c>
    </row>
    <row r="57" spans="1:203" hidden="1" x14ac:dyDescent="0.25">
      <c r="A57" s="12">
        <v>16</v>
      </c>
      <c r="B57" s="12">
        <f>IF('DATOS Y RESPUESTAS'!C29="v",1,0)</f>
        <v>0</v>
      </c>
      <c r="C57" s="6">
        <f>IF('DATOS Y RESPUESTAS'!C29="f",1,0)</f>
        <v>1</v>
      </c>
      <c r="D57" s="12">
        <v>41</v>
      </c>
      <c r="E57" s="12">
        <f>IF('DATOS Y RESPUESTAS'!E29="v",1,0)</f>
        <v>1</v>
      </c>
      <c r="F57" s="6">
        <f>IF('DATOS Y RESPUESTAS'!E29="f",1,0)</f>
        <v>0</v>
      </c>
      <c r="G57" s="6"/>
      <c r="H57" s="12">
        <v>66</v>
      </c>
      <c r="I57" s="12">
        <f>IF('DATOS Y RESPUESTAS'!G29="v",1,0)</f>
        <v>0</v>
      </c>
      <c r="J57" s="6">
        <f>IF('DATOS Y RESPUESTAS'!G29="f",1,0)</f>
        <v>1</v>
      </c>
      <c r="K57" s="12">
        <v>91</v>
      </c>
      <c r="L57" s="12">
        <f>IF('DATOS Y RESPUESTAS'!I29="v",1,0)</f>
        <v>0</v>
      </c>
      <c r="M57" s="6">
        <f>IF('DATOS Y RESPUESTAS'!I29="f",1,0)</f>
        <v>1</v>
      </c>
      <c r="N57" s="12">
        <v>116</v>
      </c>
      <c r="O57" s="12">
        <f>IF('DATOS Y RESPUESTAS'!K29="v",1,0)</f>
        <v>0</v>
      </c>
      <c r="P57" s="6">
        <f>IF('DATOS Y RESPUESTAS'!K29="f",1,0)</f>
        <v>1</v>
      </c>
      <c r="Q57" s="12">
        <v>141</v>
      </c>
      <c r="R57" s="12">
        <f>IF('DATOS Y RESPUESTAS'!M29="v",1,0)</f>
        <v>0</v>
      </c>
      <c r="S57" s="6">
        <f>IF('DATOS Y RESPUESTAS'!M29="f",1,0)</f>
        <v>1</v>
      </c>
      <c r="T57" s="6"/>
      <c r="U57" s="6"/>
      <c r="V57" s="12"/>
      <c r="W57" s="12"/>
      <c r="X57" s="12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12"/>
      <c r="BT57" s="12"/>
      <c r="BV57" s="4">
        <v>42</v>
      </c>
      <c r="BW57" s="4">
        <v>85</v>
      </c>
      <c r="BX57" s="4">
        <v>88</v>
      </c>
      <c r="BY57" s="4">
        <v>109</v>
      </c>
      <c r="BZ57" s="4">
        <v>37</v>
      </c>
      <c r="CA57" s="4">
        <v>61</v>
      </c>
      <c r="CB57" s="4">
        <v>83</v>
      </c>
      <c r="CC57" s="4">
        <v>75</v>
      </c>
      <c r="CD57" s="4">
        <v>115</v>
      </c>
      <c r="CE57" s="4">
        <v>45</v>
      </c>
      <c r="CF57" s="4">
        <v>92</v>
      </c>
      <c r="CG57" s="4">
        <v>77</v>
      </c>
      <c r="CH57" s="4">
        <v>115</v>
      </c>
      <c r="CI57" s="4">
        <v>115</v>
      </c>
      <c r="CJ57" s="4">
        <v>84</v>
      </c>
      <c r="CK57" s="4">
        <v>115</v>
      </c>
      <c r="CL57" s="4">
        <v>101</v>
      </c>
      <c r="CM57" s="4">
        <v>115</v>
      </c>
      <c r="CN57" s="4">
        <v>103</v>
      </c>
      <c r="CO57" s="4">
        <v>115</v>
      </c>
      <c r="CP57" s="4">
        <v>115</v>
      </c>
      <c r="CQ57" s="4">
        <v>115</v>
      </c>
      <c r="CR57" s="4">
        <v>106</v>
      </c>
      <c r="CS57" s="4">
        <v>101</v>
      </c>
      <c r="CT57" s="4">
        <v>115</v>
      </c>
      <c r="CU57" s="4">
        <v>99</v>
      </c>
      <c r="CV57" s="4">
        <v>104</v>
      </c>
      <c r="CW57" s="4">
        <v>115</v>
      </c>
      <c r="CX57" s="4">
        <v>100</v>
      </c>
      <c r="CY57" s="4">
        <v>100</v>
      </c>
      <c r="CZ57" s="4">
        <v>79</v>
      </c>
      <c r="DA57" s="4">
        <v>84</v>
      </c>
      <c r="DB57" s="4">
        <v>103</v>
      </c>
      <c r="DC57" s="4">
        <v>40</v>
      </c>
      <c r="DD57" s="4">
        <v>63</v>
      </c>
      <c r="DE57" s="4">
        <v>75</v>
      </c>
      <c r="DF57" s="4">
        <v>74</v>
      </c>
      <c r="DG57" s="4">
        <v>115</v>
      </c>
      <c r="DH57" s="4">
        <v>48</v>
      </c>
      <c r="DI57" s="4">
        <v>92</v>
      </c>
      <c r="DJ57" s="4">
        <v>72</v>
      </c>
      <c r="DK57" s="4">
        <v>115</v>
      </c>
      <c r="DL57" s="4">
        <v>115</v>
      </c>
      <c r="DM57" s="4">
        <v>75</v>
      </c>
      <c r="DN57" s="4">
        <v>115</v>
      </c>
      <c r="DO57" s="4">
        <v>110</v>
      </c>
      <c r="DP57" s="4">
        <v>115</v>
      </c>
      <c r="DQ57" s="4">
        <v>113</v>
      </c>
      <c r="DR57" s="4">
        <v>115</v>
      </c>
      <c r="DS57" s="4">
        <v>115</v>
      </c>
      <c r="DT57" s="4">
        <v>115</v>
      </c>
      <c r="DU57" s="4">
        <v>106</v>
      </c>
      <c r="DV57" s="4">
        <v>112</v>
      </c>
      <c r="DW57" s="4">
        <v>115</v>
      </c>
      <c r="DX57" s="4">
        <v>88</v>
      </c>
      <c r="DY57" s="4">
        <v>104</v>
      </c>
      <c r="DZ57" s="4">
        <v>115</v>
      </c>
      <c r="EA57" s="4">
        <v>100</v>
      </c>
      <c r="EB57" s="4">
        <v>100</v>
      </c>
      <c r="EC57" s="4">
        <v>78</v>
      </c>
      <c r="ED57" s="4">
        <v>69</v>
      </c>
      <c r="EE57" s="4">
        <v>103</v>
      </c>
      <c r="EF57" s="4">
        <v>25</v>
      </c>
      <c r="EG57" s="4">
        <v>75</v>
      </c>
      <c r="EH57" s="4">
        <v>103</v>
      </c>
      <c r="EI57" s="4">
        <v>84</v>
      </c>
      <c r="EJ57" s="4">
        <v>115</v>
      </c>
      <c r="EK57" s="4">
        <v>46</v>
      </c>
      <c r="EL57" s="4">
        <v>83</v>
      </c>
      <c r="EM57" s="4">
        <v>65</v>
      </c>
      <c r="EN57" s="4">
        <v>115</v>
      </c>
      <c r="EO57" s="4">
        <v>115</v>
      </c>
      <c r="EP57" s="4">
        <v>64</v>
      </c>
      <c r="EQ57" s="4">
        <v>115</v>
      </c>
      <c r="ER57" s="4">
        <v>80</v>
      </c>
      <c r="ES57" s="4">
        <v>115</v>
      </c>
      <c r="ET57" s="4">
        <v>113</v>
      </c>
      <c r="EU57" s="4">
        <v>115</v>
      </c>
      <c r="EV57" s="4">
        <v>115</v>
      </c>
      <c r="EW57" s="4">
        <v>114</v>
      </c>
      <c r="EX57" s="4">
        <v>110</v>
      </c>
      <c r="EY57" s="4">
        <v>112</v>
      </c>
      <c r="EZ57" s="4">
        <v>115</v>
      </c>
      <c r="FA57" s="4">
        <v>72</v>
      </c>
      <c r="FB57" s="4">
        <v>80</v>
      </c>
      <c r="FC57" s="4">
        <v>115</v>
      </c>
      <c r="FD57" s="4">
        <v>100</v>
      </c>
      <c r="FE57" s="4">
        <v>100</v>
      </c>
      <c r="FF57" s="4">
        <v>73</v>
      </c>
      <c r="FG57" s="4">
        <v>66</v>
      </c>
      <c r="FH57" s="4">
        <v>97</v>
      </c>
      <c r="FI57" s="4">
        <v>25</v>
      </c>
      <c r="FJ57" s="4">
        <v>74</v>
      </c>
      <c r="FK57" s="4">
        <v>102</v>
      </c>
      <c r="FL57" s="4">
        <v>84</v>
      </c>
      <c r="FM57" s="4">
        <v>115</v>
      </c>
      <c r="FN57" s="4">
        <v>50</v>
      </c>
      <c r="FO57" s="4">
        <v>79</v>
      </c>
      <c r="FP57" s="4">
        <v>58</v>
      </c>
      <c r="FQ57" s="4">
        <v>115</v>
      </c>
      <c r="FR57" s="4">
        <v>115</v>
      </c>
      <c r="FS57" s="4">
        <v>58</v>
      </c>
      <c r="FT57" s="4">
        <v>115</v>
      </c>
      <c r="FU57" s="4">
        <v>88</v>
      </c>
      <c r="FV57" s="4">
        <v>115</v>
      </c>
      <c r="FW57" s="4">
        <v>114</v>
      </c>
      <c r="FX57" s="4">
        <v>115</v>
      </c>
      <c r="FY57" s="4">
        <v>115</v>
      </c>
      <c r="FZ57" s="4">
        <v>112</v>
      </c>
      <c r="GA57" s="4">
        <v>109</v>
      </c>
      <c r="GB57" s="4">
        <v>115</v>
      </c>
      <c r="GC57" s="4">
        <v>115</v>
      </c>
      <c r="GD57" s="4">
        <v>65</v>
      </c>
      <c r="GE57" s="4">
        <v>72</v>
      </c>
      <c r="GF57" s="4">
        <v>115</v>
      </c>
      <c r="GG57" s="4">
        <v>100</v>
      </c>
      <c r="GH57" s="4">
        <v>100</v>
      </c>
      <c r="GJ57" s="4">
        <v>44</v>
      </c>
      <c r="GK57" s="4">
        <v>2</v>
      </c>
      <c r="GL57" s="4">
        <v>25</v>
      </c>
      <c r="GT57" s="4">
        <v>-79</v>
      </c>
      <c r="GU57" s="4">
        <v>-7</v>
      </c>
    </row>
    <row r="58" spans="1:203" hidden="1" x14ac:dyDescent="0.25">
      <c r="A58" s="12">
        <v>17</v>
      </c>
      <c r="B58" s="12">
        <f>IF('DATOS Y RESPUESTAS'!C30="v",1,0)</f>
        <v>0</v>
      </c>
      <c r="C58" s="6">
        <f>IF('DATOS Y RESPUESTAS'!C30="f",1,0)</f>
        <v>1</v>
      </c>
      <c r="D58" s="12">
        <v>42</v>
      </c>
      <c r="E58" s="12">
        <f>IF('DATOS Y RESPUESTAS'!E30="v",1,0)</f>
        <v>0</v>
      </c>
      <c r="F58" s="6">
        <f>IF('DATOS Y RESPUESTAS'!E30="f",1,0)</f>
        <v>1</v>
      </c>
      <c r="G58" s="6"/>
      <c r="H58" s="12">
        <v>67</v>
      </c>
      <c r="I58" s="12">
        <f>IF('DATOS Y RESPUESTAS'!G30="v",1,0)</f>
        <v>0</v>
      </c>
      <c r="J58" s="6">
        <f>IF('DATOS Y RESPUESTAS'!G30="f",1,0)</f>
        <v>1</v>
      </c>
      <c r="K58" s="12">
        <v>92</v>
      </c>
      <c r="L58" s="12">
        <f>IF('DATOS Y RESPUESTAS'!I30="v",1,0)</f>
        <v>0</v>
      </c>
      <c r="M58" s="6">
        <f>IF('DATOS Y RESPUESTAS'!I30="f",1,0)</f>
        <v>1</v>
      </c>
      <c r="N58" s="12">
        <v>117</v>
      </c>
      <c r="O58" s="12">
        <f>IF('DATOS Y RESPUESTAS'!K30="v",1,0)</f>
        <v>0</v>
      </c>
      <c r="P58" s="6">
        <f>IF('DATOS Y RESPUESTAS'!K30="f",1,0)</f>
        <v>1</v>
      </c>
      <c r="Q58" s="12">
        <v>142</v>
      </c>
      <c r="R58" s="12">
        <f>IF('DATOS Y RESPUESTAS'!M30="v",1,0)</f>
        <v>0</v>
      </c>
      <c r="S58" s="6">
        <f>IF('DATOS Y RESPUESTAS'!M30="f",1,0)</f>
        <v>1</v>
      </c>
      <c r="T58" s="6"/>
      <c r="U58" s="6"/>
      <c r="V58" s="12"/>
      <c r="W58" s="12"/>
      <c r="X58" s="12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12"/>
      <c r="BT58" s="12"/>
      <c r="BV58" s="4">
        <v>43</v>
      </c>
      <c r="BW58" s="4">
        <v>88</v>
      </c>
      <c r="BX58" s="4">
        <v>93</v>
      </c>
      <c r="BY58" s="4">
        <v>109</v>
      </c>
      <c r="BZ58" s="4">
        <v>40</v>
      </c>
      <c r="CA58" s="4">
        <v>64</v>
      </c>
      <c r="CB58" s="4">
        <v>85</v>
      </c>
      <c r="CC58" s="4">
        <v>78</v>
      </c>
      <c r="CD58" s="4">
        <v>115</v>
      </c>
      <c r="CE58" s="4">
        <v>46</v>
      </c>
      <c r="CF58" s="4">
        <v>94</v>
      </c>
      <c r="CG58" s="4">
        <v>78</v>
      </c>
      <c r="CH58" s="4">
        <v>115</v>
      </c>
      <c r="CI58" s="4">
        <v>115</v>
      </c>
      <c r="CJ58" s="4">
        <v>85</v>
      </c>
      <c r="CK58" s="4">
        <v>115</v>
      </c>
      <c r="CL58" s="4">
        <v>105</v>
      </c>
      <c r="CM58" s="4">
        <v>115</v>
      </c>
      <c r="CN58" s="4">
        <v>105</v>
      </c>
      <c r="CO58" s="4">
        <v>115</v>
      </c>
      <c r="CP58" s="4">
        <v>115</v>
      </c>
      <c r="CQ58" s="4">
        <v>115</v>
      </c>
      <c r="CR58" s="4">
        <v>107</v>
      </c>
      <c r="CS58" s="4">
        <v>105</v>
      </c>
      <c r="CT58" s="4">
        <v>115</v>
      </c>
      <c r="CU58" s="4">
        <v>103</v>
      </c>
      <c r="CV58" s="4">
        <v>104</v>
      </c>
      <c r="CW58" s="4">
        <v>115</v>
      </c>
      <c r="CX58" s="4">
        <v>100</v>
      </c>
      <c r="CY58" s="4">
        <v>100</v>
      </c>
      <c r="CZ58" s="4">
        <v>80</v>
      </c>
      <c r="DA58" s="4">
        <v>84</v>
      </c>
      <c r="DB58" s="4">
        <v>115</v>
      </c>
      <c r="DC58" s="4">
        <v>44</v>
      </c>
      <c r="DD58" s="4">
        <v>65</v>
      </c>
      <c r="DE58" s="4">
        <v>82</v>
      </c>
      <c r="DF58" s="4">
        <v>75</v>
      </c>
      <c r="DG58" s="4">
        <v>115</v>
      </c>
      <c r="DH58" s="4">
        <v>50</v>
      </c>
      <c r="DI58" s="4">
        <v>108</v>
      </c>
      <c r="DJ58" s="4">
        <v>73</v>
      </c>
      <c r="DK58" s="4">
        <v>115</v>
      </c>
      <c r="DL58" s="4">
        <v>115</v>
      </c>
      <c r="DM58" s="4">
        <v>76</v>
      </c>
      <c r="DN58" s="4">
        <v>115</v>
      </c>
      <c r="DO58" s="4">
        <v>113</v>
      </c>
      <c r="DP58" s="4">
        <v>115</v>
      </c>
      <c r="DQ58" s="4">
        <v>113</v>
      </c>
      <c r="DR58" s="4">
        <v>115</v>
      </c>
      <c r="DS58" s="4">
        <v>115</v>
      </c>
      <c r="DT58" s="4">
        <v>115</v>
      </c>
      <c r="DU58" s="4">
        <v>106</v>
      </c>
      <c r="DV58" s="4">
        <v>112</v>
      </c>
      <c r="DW58" s="4">
        <v>115</v>
      </c>
      <c r="DX58" s="4">
        <v>97</v>
      </c>
      <c r="DY58" s="4">
        <v>108</v>
      </c>
      <c r="DZ58" s="4">
        <v>115</v>
      </c>
      <c r="EA58" s="4">
        <v>100</v>
      </c>
      <c r="EB58" s="4">
        <v>100</v>
      </c>
      <c r="EC58" s="4">
        <v>82</v>
      </c>
      <c r="ED58" s="4">
        <v>71</v>
      </c>
      <c r="EE58" s="4">
        <v>106</v>
      </c>
      <c r="EF58" s="4">
        <v>27</v>
      </c>
      <c r="EG58" s="4">
        <v>77</v>
      </c>
      <c r="EH58" s="4">
        <v>104</v>
      </c>
      <c r="EI58" s="4">
        <v>85</v>
      </c>
      <c r="EJ58" s="4">
        <v>115</v>
      </c>
      <c r="EK58" s="4">
        <v>48</v>
      </c>
      <c r="EL58" s="4">
        <v>85</v>
      </c>
      <c r="EM58" s="4">
        <v>66</v>
      </c>
      <c r="EN58" s="4">
        <v>115</v>
      </c>
      <c r="EO58" s="4">
        <v>115</v>
      </c>
      <c r="EP58" s="4">
        <v>65</v>
      </c>
      <c r="EQ58" s="4">
        <v>115</v>
      </c>
      <c r="ER58" s="4">
        <v>83</v>
      </c>
      <c r="ES58" s="4">
        <v>115</v>
      </c>
      <c r="ET58" s="4">
        <v>113</v>
      </c>
      <c r="EU58" s="4">
        <v>115</v>
      </c>
      <c r="EV58" s="4">
        <v>115</v>
      </c>
      <c r="EW58" s="4">
        <v>114</v>
      </c>
      <c r="EX58" s="4">
        <v>110</v>
      </c>
      <c r="EY58" s="4">
        <v>114</v>
      </c>
      <c r="EZ58" s="4">
        <v>115</v>
      </c>
      <c r="FA58" s="4">
        <v>75</v>
      </c>
      <c r="FB58" s="4">
        <v>82</v>
      </c>
      <c r="FC58" s="4">
        <v>115</v>
      </c>
      <c r="FD58" s="4">
        <v>100</v>
      </c>
      <c r="FE58" s="4">
        <v>100</v>
      </c>
      <c r="FF58" s="4">
        <v>74</v>
      </c>
      <c r="FG58" s="4">
        <v>68</v>
      </c>
      <c r="FH58" s="4">
        <v>102</v>
      </c>
      <c r="FI58" s="4">
        <v>26</v>
      </c>
      <c r="FJ58" s="4">
        <v>75</v>
      </c>
      <c r="FK58" s="4">
        <v>103</v>
      </c>
      <c r="FL58" s="4">
        <v>85</v>
      </c>
      <c r="FM58" s="4">
        <v>115</v>
      </c>
      <c r="FN58" s="4">
        <v>53</v>
      </c>
      <c r="FO58" s="4">
        <v>82</v>
      </c>
      <c r="FP58" s="4">
        <v>59</v>
      </c>
      <c r="FQ58" s="4">
        <v>115</v>
      </c>
      <c r="FR58" s="4">
        <v>115</v>
      </c>
      <c r="FS58" s="4">
        <v>59</v>
      </c>
      <c r="FT58" s="4">
        <v>115</v>
      </c>
      <c r="FU58" s="4">
        <v>97</v>
      </c>
      <c r="FV58" s="4">
        <v>115</v>
      </c>
      <c r="FW58" s="4">
        <v>114</v>
      </c>
      <c r="FX58" s="4">
        <v>115</v>
      </c>
      <c r="FY58" s="4">
        <v>115</v>
      </c>
      <c r="FZ58" s="4">
        <v>112</v>
      </c>
      <c r="GA58" s="4">
        <v>109</v>
      </c>
      <c r="GB58" s="4">
        <v>115</v>
      </c>
      <c r="GC58" s="4">
        <v>115</v>
      </c>
      <c r="GD58" s="4">
        <v>68</v>
      </c>
      <c r="GE58" s="4">
        <v>74</v>
      </c>
      <c r="GF58" s="4">
        <v>115</v>
      </c>
      <c r="GG58" s="4">
        <v>100</v>
      </c>
      <c r="GH58" s="4">
        <v>100</v>
      </c>
      <c r="GJ58" s="4">
        <v>45</v>
      </c>
      <c r="GK58" s="4">
        <v>2</v>
      </c>
      <c r="GL58" s="4">
        <v>25</v>
      </c>
      <c r="GT58" s="4">
        <v>-78</v>
      </c>
      <c r="GU58" s="4">
        <v>-7</v>
      </c>
    </row>
    <row r="59" spans="1:203" hidden="1" x14ac:dyDescent="0.25">
      <c r="A59" s="12">
        <v>18</v>
      </c>
      <c r="B59" s="12">
        <f>IF('DATOS Y RESPUESTAS'!C31="v",1,0)</f>
        <v>1</v>
      </c>
      <c r="C59" s="6">
        <f>IF('DATOS Y RESPUESTAS'!C31="f",1,0)</f>
        <v>0</v>
      </c>
      <c r="D59" s="12">
        <v>43</v>
      </c>
      <c r="E59" s="12">
        <f>IF('DATOS Y RESPUESTAS'!E31="v",1,0)</f>
        <v>0</v>
      </c>
      <c r="F59" s="6">
        <f>IF('DATOS Y RESPUESTAS'!E31="f",1,0)</f>
        <v>1</v>
      </c>
      <c r="G59" s="6"/>
      <c r="H59" s="12">
        <v>68</v>
      </c>
      <c r="I59" s="12">
        <f>IF('DATOS Y RESPUESTAS'!G31="v",1,0)</f>
        <v>0</v>
      </c>
      <c r="J59" s="6">
        <f>IF('DATOS Y RESPUESTAS'!G31="f",1,0)</f>
        <v>1</v>
      </c>
      <c r="K59" s="12">
        <v>93</v>
      </c>
      <c r="L59" s="12">
        <f>IF('DATOS Y RESPUESTAS'!I31="v",1,0)</f>
        <v>1</v>
      </c>
      <c r="M59" s="6">
        <f>IF('DATOS Y RESPUESTAS'!I31="f",1,0)</f>
        <v>0</v>
      </c>
      <c r="N59" s="12">
        <v>118</v>
      </c>
      <c r="O59" s="12">
        <f>IF('DATOS Y RESPUESTAS'!K31="v",1,0)</f>
        <v>1</v>
      </c>
      <c r="P59" s="6">
        <f>IF('DATOS Y RESPUESTAS'!K31="f",1,0)</f>
        <v>0</v>
      </c>
      <c r="Q59" s="12">
        <v>143</v>
      </c>
      <c r="R59" s="12">
        <f>IF('DATOS Y RESPUESTAS'!M31="v",1,0)</f>
        <v>0</v>
      </c>
      <c r="S59" s="6">
        <f>IF('DATOS Y RESPUESTAS'!M31="f",1,0)</f>
        <v>1</v>
      </c>
      <c r="T59" s="6"/>
      <c r="U59" s="6"/>
      <c r="V59" s="12"/>
      <c r="W59" s="12"/>
      <c r="X59" s="12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12"/>
      <c r="BT59" s="12"/>
      <c r="BV59" s="4">
        <v>44</v>
      </c>
      <c r="BW59" s="4">
        <v>91</v>
      </c>
      <c r="BX59" s="4">
        <v>93</v>
      </c>
      <c r="BY59" s="4">
        <v>111</v>
      </c>
      <c r="BZ59" s="4">
        <v>42</v>
      </c>
      <c r="CA59" s="4">
        <v>67</v>
      </c>
      <c r="CB59" s="4">
        <v>89</v>
      </c>
      <c r="CC59" s="4">
        <v>81</v>
      </c>
      <c r="CD59" s="4">
        <v>115</v>
      </c>
      <c r="CE59" s="4">
        <v>49</v>
      </c>
      <c r="CF59" s="4">
        <v>97</v>
      </c>
      <c r="CG59" s="4">
        <v>80</v>
      </c>
      <c r="CH59" s="4">
        <v>115</v>
      </c>
      <c r="CI59" s="4">
        <v>115</v>
      </c>
      <c r="CJ59" s="4">
        <v>91</v>
      </c>
      <c r="CK59" s="4">
        <v>115</v>
      </c>
      <c r="CL59" s="4">
        <v>108</v>
      </c>
      <c r="CM59" s="4">
        <v>115</v>
      </c>
      <c r="CN59" s="4">
        <v>105</v>
      </c>
      <c r="CO59" s="4">
        <v>115</v>
      </c>
      <c r="CP59" s="4">
        <v>115</v>
      </c>
      <c r="CQ59" s="4">
        <v>115</v>
      </c>
      <c r="CR59" s="4">
        <v>108</v>
      </c>
      <c r="CS59" s="4">
        <v>107</v>
      </c>
      <c r="CT59" s="4">
        <v>115</v>
      </c>
      <c r="CU59" s="4">
        <v>106</v>
      </c>
      <c r="CV59" s="4">
        <v>106</v>
      </c>
      <c r="CW59" s="4">
        <v>115</v>
      </c>
      <c r="CX59" s="4">
        <v>100</v>
      </c>
      <c r="CY59" s="4">
        <v>100</v>
      </c>
      <c r="CZ59" s="4">
        <v>82</v>
      </c>
      <c r="DA59" s="4">
        <v>85</v>
      </c>
      <c r="DB59" s="4">
        <v>115</v>
      </c>
      <c r="DC59" s="4">
        <v>47</v>
      </c>
      <c r="DD59" s="4">
        <v>68</v>
      </c>
      <c r="DE59" s="4">
        <v>84</v>
      </c>
      <c r="DF59" s="4">
        <v>80</v>
      </c>
      <c r="DG59" s="4">
        <v>115</v>
      </c>
      <c r="DH59" s="4">
        <v>55</v>
      </c>
      <c r="DI59" s="4">
        <v>108</v>
      </c>
      <c r="DJ59" s="4">
        <v>73</v>
      </c>
      <c r="DK59" s="4">
        <v>115</v>
      </c>
      <c r="DL59" s="4">
        <v>115</v>
      </c>
      <c r="DM59" s="4">
        <v>80</v>
      </c>
      <c r="DN59" s="4">
        <v>115</v>
      </c>
      <c r="DO59" s="4">
        <v>113</v>
      </c>
      <c r="DP59" s="4">
        <v>115</v>
      </c>
      <c r="DQ59" s="4">
        <v>113</v>
      </c>
      <c r="DR59" s="4">
        <v>115</v>
      </c>
      <c r="DS59" s="4">
        <v>115</v>
      </c>
      <c r="DT59" s="4">
        <v>115</v>
      </c>
      <c r="DU59" s="4">
        <v>106</v>
      </c>
      <c r="DV59" s="4">
        <v>112</v>
      </c>
      <c r="DW59" s="4">
        <v>115</v>
      </c>
      <c r="DX59" s="4">
        <v>106</v>
      </c>
      <c r="DY59" s="4">
        <v>108</v>
      </c>
      <c r="DZ59" s="4">
        <v>115</v>
      </c>
      <c r="EA59" s="4">
        <v>100</v>
      </c>
      <c r="EB59" s="4">
        <v>100</v>
      </c>
      <c r="EC59" s="4">
        <v>83</v>
      </c>
      <c r="ED59" s="4">
        <v>72</v>
      </c>
      <c r="EE59" s="4">
        <v>111</v>
      </c>
      <c r="EF59" s="4">
        <v>28</v>
      </c>
      <c r="EG59" s="4">
        <v>81</v>
      </c>
      <c r="EH59" s="4">
        <v>106</v>
      </c>
      <c r="EI59" s="4">
        <v>88</v>
      </c>
      <c r="EJ59" s="4">
        <v>115</v>
      </c>
      <c r="EK59" s="4">
        <v>50</v>
      </c>
      <c r="EL59" s="4">
        <v>91</v>
      </c>
      <c r="EM59" s="4">
        <v>67</v>
      </c>
      <c r="EN59" s="4">
        <v>115</v>
      </c>
      <c r="EO59" s="4">
        <v>115</v>
      </c>
      <c r="EP59" s="4">
        <v>66</v>
      </c>
      <c r="EQ59" s="4">
        <v>115</v>
      </c>
      <c r="ER59" s="4">
        <v>85</v>
      </c>
      <c r="ES59" s="4">
        <v>115</v>
      </c>
      <c r="ET59" s="4">
        <v>113</v>
      </c>
      <c r="EU59" s="4">
        <v>115</v>
      </c>
      <c r="EV59" s="4">
        <v>115</v>
      </c>
      <c r="EW59" s="4">
        <v>115</v>
      </c>
      <c r="EX59" s="4">
        <v>110</v>
      </c>
      <c r="EY59" s="4">
        <v>114</v>
      </c>
      <c r="EZ59" s="4">
        <v>115</v>
      </c>
      <c r="FA59" s="4">
        <v>78</v>
      </c>
      <c r="FB59" s="4">
        <v>85</v>
      </c>
      <c r="FC59" s="4">
        <v>115</v>
      </c>
      <c r="FD59" s="4">
        <v>100</v>
      </c>
      <c r="FE59" s="4">
        <v>100</v>
      </c>
      <c r="FF59" s="4">
        <v>75</v>
      </c>
      <c r="FG59" s="4">
        <v>70</v>
      </c>
      <c r="FH59" s="4">
        <v>107</v>
      </c>
      <c r="FI59" s="4">
        <v>28</v>
      </c>
      <c r="FJ59" s="4">
        <v>77</v>
      </c>
      <c r="FK59" s="4">
        <v>104</v>
      </c>
      <c r="FL59" s="4">
        <v>88</v>
      </c>
      <c r="FM59" s="4">
        <v>115</v>
      </c>
      <c r="FN59" s="4">
        <v>57</v>
      </c>
      <c r="FO59" s="4">
        <v>85</v>
      </c>
      <c r="FP59" s="4">
        <v>60</v>
      </c>
      <c r="FQ59" s="4">
        <v>115</v>
      </c>
      <c r="FR59" s="4">
        <v>115</v>
      </c>
      <c r="FS59" s="4">
        <v>60</v>
      </c>
      <c r="FT59" s="4">
        <v>115</v>
      </c>
      <c r="FU59" s="4">
        <v>101</v>
      </c>
      <c r="FV59" s="4">
        <v>115</v>
      </c>
      <c r="FW59" s="4">
        <v>114</v>
      </c>
      <c r="FX59" s="4">
        <v>115</v>
      </c>
      <c r="FY59" s="4">
        <v>115</v>
      </c>
      <c r="FZ59" s="4">
        <v>115</v>
      </c>
      <c r="GA59" s="4">
        <v>110</v>
      </c>
      <c r="GB59" s="4">
        <v>115</v>
      </c>
      <c r="GC59" s="4">
        <v>115</v>
      </c>
      <c r="GD59" s="4">
        <v>72</v>
      </c>
      <c r="GE59" s="4">
        <v>75</v>
      </c>
      <c r="GF59" s="4">
        <v>115</v>
      </c>
      <c r="GG59" s="4">
        <v>100</v>
      </c>
      <c r="GH59" s="4">
        <v>100</v>
      </c>
      <c r="GJ59" s="4">
        <v>46</v>
      </c>
      <c r="GK59" s="4">
        <v>2</v>
      </c>
      <c r="GL59" s="4">
        <v>25</v>
      </c>
      <c r="GT59" s="4">
        <v>-77</v>
      </c>
      <c r="GU59" s="4">
        <v>-7</v>
      </c>
    </row>
    <row r="60" spans="1:203" hidden="1" x14ac:dyDescent="0.25">
      <c r="A60" s="12">
        <v>19</v>
      </c>
      <c r="B60" s="12">
        <f>IF('DATOS Y RESPUESTAS'!C32="v",1,0)</f>
        <v>0</v>
      </c>
      <c r="C60" s="6">
        <f>IF('DATOS Y RESPUESTAS'!C32="f",1,0)</f>
        <v>1</v>
      </c>
      <c r="D60" s="12">
        <v>44</v>
      </c>
      <c r="E60" s="12">
        <f>IF('DATOS Y RESPUESTAS'!E32="v",1,0)</f>
        <v>1</v>
      </c>
      <c r="F60" s="6">
        <f>IF('DATOS Y RESPUESTAS'!E32="f",1,0)</f>
        <v>0</v>
      </c>
      <c r="G60" s="6"/>
      <c r="H60" s="12">
        <v>69</v>
      </c>
      <c r="I60" s="12">
        <f>IF('DATOS Y RESPUESTAS'!G32="v",1,0)</f>
        <v>0</v>
      </c>
      <c r="J60" s="6">
        <f>IF('DATOS Y RESPUESTAS'!G32="f",1,0)</f>
        <v>1</v>
      </c>
      <c r="K60" s="12">
        <v>94</v>
      </c>
      <c r="L60" s="12">
        <f>IF('DATOS Y RESPUESTAS'!I32="v",1,0)</f>
        <v>0</v>
      </c>
      <c r="M60" s="6">
        <f>IF('DATOS Y RESPUESTAS'!I32="f",1,0)</f>
        <v>1</v>
      </c>
      <c r="N60" s="12">
        <v>119</v>
      </c>
      <c r="O60" s="12">
        <f>IF('DATOS Y RESPUESTAS'!K32="v",1,0)</f>
        <v>0</v>
      </c>
      <c r="P60" s="6">
        <f>IF('DATOS Y RESPUESTAS'!K32="f",1,0)</f>
        <v>1</v>
      </c>
      <c r="Q60" s="12">
        <v>144</v>
      </c>
      <c r="R60" s="12">
        <f>IF('DATOS Y RESPUESTAS'!M32="v",1,0)</f>
        <v>0</v>
      </c>
      <c r="S60" s="6">
        <f>IF('DATOS Y RESPUESTAS'!M32="f",1,0)</f>
        <v>1</v>
      </c>
      <c r="T60" s="6"/>
      <c r="U60" s="6"/>
      <c r="V60" s="12"/>
      <c r="W60" s="12"/>
      <c r="X60" s="12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12"/>
      <c r="BT60" s="12"/>
      <c r="BV60" s="4">
        <v>45</v>
      </c>
      <c r="BW60" s="4">
        <v>91</v>
      </c>
      <c r="BX60" s="4">
        <v>93</v>
      </c>
      <c r="BY60" s="4">
        <v>113</v>
      </c>
      <c r="BZ60" s="4">
        <v>45</v>
      </c>
      <c r="CA60" s="4">
        <v>70</v>
      </c>
      <c r="CB60" s="4">
        <v>92</v>
      </c>
      <c r="CC60" s="4">
        <v>83</v>
      </c>
      <c r="CD60" s="4">
        <v>115</v>
      </c>
      <c r="CE60" s="4">
        <v>50</v>
      </c>
      <c r="CF60" s="4">
        <v>100</v>
      </c>
      <c r="CG60" s="4">
        <v>81</v>
      </c>
      <c r="CH60" s="4">
        <v>115</v>
      </c>
      <c r="CI60" s="4">
        <v>115</v>
      </c>
      <c r="CJ60" s="4">
        <v>92</v>
      </c>
      <c r="CK60" s="4">
        <v>115</v>
      </c>
      <c r="CL60" s="4">
        <v>112</v>
      </c>
      <c r="CM60" s="4">
        <v>115</v>
      </c>
      <c r="CN60" s="4">
        <v>107</v>
      </c>
      <c r="CO60" s="4">
        <v>115</v>
      </c>
      <c r="CP60" s="4">
        <v>115</v>
      </c>
      <c r="CQ60" s="4">
        <v>115</v>
      </c>
      <c r="CR60" s="4">
        <v>108</v>
      </c>
      <c r="CS60" s="4">
        <v>109</v>
      </c>
      <c r="CT60" s="4">
        <v>115</v>
      </c>
      <c r="CU60" s="4">
        <v>107</v>
      </c>
      <c r="CV60" s="4">
        <v>108</v>
      </c>
      <c r="CW60" s="4">
        <v>115</v>
      </c>
      <c r="CX60" s="4">
        <v>100</v>
      </c>
      <c r="CY60" s="4">
        <v>100</v>
      </c>
      <c r="CZ60" s="4">
        <v>83</v>
      </c>
      <c r="DA60" s="4">
        <v>91</v>
      </c>
      <c r="DB60" s="4">
        <v>115</v>
      </c>
      <c r="DC60" s="4">
        <v>48</v>
      </c>
      <c r="DD60" s="4">
        <v>71</v>
      </c>
      <c r="DE60" s="4">
        <v>85</v>
      </c>
      <c r="DF60" s="4">
        <v>83</v>
      </c>
      <c r="DG60" s="4">
        <v>115</v>
      </c>
      <c r="DH60" s="4">
        <v>59</v>
      </c>
      <c r="DI60" s="4">
        <v>108</v>
      </c>
      <c r="DJ60" s="4">
        <v>75</v>
      </c>
      <c r="DK60" s="4">
        <v>115</v>
      </c>
      <c r="DL60" s="4">
        <v>115</v>
      </c>
      <c r="DM60" s="4">
        <v>83</v>
      </c>
      <c r="DN60" s="4">
        <v>115</v>
      </c>
      <c r="DO60" s="4">
        <v>113</v>
      </c>
      <c r="DP60" s="4">
        <v>115</v>
      </c>
      <c r="DQ60" s="4">
        <v>113</v>
      </c>
      <c r="DR60" s="4">
        <v>115</v>
      </c>
      <c r="DS60" s="4">
        <v>115</v>
      </c>
      <c r="DT60" s="4">
        <v>115</v>
      </c>
      <c r="DU60" s="4">
        <v>108</v>
      </c>
      <c r="DV60" s="4">
        <v>112</v>
      </c>
      <c r="DW60" s="4">
        <v>115</v>
      </c>
      <c r="DX60" s="4">
        <v>109</v>
      </c>
      <c r="DY60" s="4">
        <v>111</v>
      </c>
      <c r="DZ60" s="4">
        <v>115</v>
      </c>
      <c r="EA60" s="4">
        <v>100</v>
      </c>
      <c r="EB60" s="4">
        <v>100</v>
      </c>
      <c r="EC60" s="4">
        <v>85</v>
      </c>
      <c r="ED60" s="4">
        <v>74</v>
      </c>
      <c r="EE60" s="4">
        <v>113</v>
      </c>
      <c r="EF60" s="4">
        <v>31</v>
      </c>
      <c r="EG60" s="4">
        <v>85</v>
      </c>
      <c r="EH60" s="4">
        <v>108</v>
      </c>
      <c r="EI60" s="4">
        <v>91</v>
      </c>
      <c r="EJ60" s="4">
        <v>115</v>
      </c>
      <c r="EK60" s="4">
        <v>51</v>
      </c>
      <c r="EL60" s="4">
        <v>94</v>
      </c>
      <c r="EM60" s="4">
        <v>68</v>
      </c>
      <c r="EN60" s="4">
        <v>115</v>
      </c>
      <c r="EO60" s="4">
        <v>115</v>
      </c>
      <c r="EP60" s="4">
        <v>68</v>
      </c>
      <c r="EQ60" s="4">
        <v>115</v>
      </c>
      <c r="ER60" s="4">
        <v>93</v>
      </c>
      <c r="ES60" s="4">
        <v>115</v>
      </c>
      <c r="ET60" s="4">
        <v>113</v>
      </c>
      <c r="EU60" s="4">
        <v>115</v>
      </c>
      <c r="EV60" s="4">
        <v>115</v>
      </c>
      <c r="EW60" s="4">
        <v>115</v>
      </c>
      <c r="EX60" s="4">
        <v>110</v>
      </c>
      <c r="EY60" s="4">
        <v>114</v>
      </c>
      <c r="EZ60" s="4">
        <v>115</v>
      </c>
      <c r="FA60" s="4">
        <v>82</v>
      </c>
      <c r="FB60" s="4">
        <v>94</v>
      </c>
      <c r="FC60" s="4">
        <v>115</v>
      </c>
      <c r="FD60" s="4">
        <v>100</v>
      </c>
      <c r="FE60" s="4">
        <v>100</v>
      </c>
      <c r="FF60" s="4">
        <v>78</v>
      </c>
      <c r="FG60" s="4">
        <v>72</v>
      </c>
      <c r="FH60" s="4">
        <v>110</v>
      </c>
      <c r="FI60" s="4">
        <v>29</v>
      </c>
      <c r="FJ60" s="4">
        <v>82</v>
      </c>
      <c r="FK60" s="4">
        <v>109</v>
      </c>
      <c r="FL60" s="4">
        <v>92</v>
      </c>
      <c r="FM60" s="4">
        <v>115</v>
      </c>
      <c r="FN60" s="4">
        <v>59</v>
      </c>
      <c r="FO60" s="4">
        <v>93</v>
      </c>
      <c r="FP60" s="4">
        <v>62</v>
      </c>
      <c r="FQ60" s="4">
        <v>115</v>
      </c>
      <c r="FR60" s="4">
        <v>115</v>
      </c>
      <c r="FS60" s="4">
        <v>63</v>
      </c>
      <c r="FT60" s="4">
        <v>115</v>
      </c>
      <c r="FU60" s="4">
        <v>107</v>
      </c>
      <c r="FV60" s="4">
        <v>115</v>
      </c>
      <c r="FW60" s="4">
        <v>114</v>
      </c>
      <c r="FX60" s="4">
        <v>115</v>
      </c>
      <c r="FY60" s="4">
        <v>115</v>
      </c>
      <c r="FZ60" s="4">
        <v>115</v>
      </c>
      <c r="GA60" s="4">
        <v>112</v>
      </c>
      <c r="GB60" s="4">
        <v>115</v>
      </c>
      <c r="GC60" s="4">
        <v>115</v>
      </c>
      <c r="GD60" s="4">
        <v>75</v>
      </c>
      <c r="GE60" s="4">
        <v>78</v>
      </c>
      <c r="GF60" s="4">
        <v>115</v>
      </c>
      <c r="GG60" s="4">
        <v>100</v>
      </c>
      <c r="GH60" s="4">
        <v>100</v>
      </c>
      <c r="GJ60" s="4">
        <v>47</v>
      </c>
      <c r="GK60" s="4">
        <v>2</v>
      </c>
      <c r="GL60" s="4">
        <v>25</v>
      </c>
      <c r="GT60" s="4">
        <v>-76</v>
      </c>
      <c r="GU60" s="4">
        <v>-7</v>
      </c>
    </row>
    <row r="61" spans="1:203" hidden="1" x14ac:dyDescent="0.25">
      <c r="A61" s="12">
        <v>20</v>
      </c>
      <c r="B61" s="12">
        <f>IF('DATOS Y RESPUESTAS'!C33="v",1,0)</f>
        <v>1</v>
      </c>
      <c r="C61" s="6">
        <f>IF('DATOS Y RESPUESTAS'!C33="f",1,0)</f>
        <v>0</v>
      </c>
      <c r="D61" s="12">
        <v>45</v>
      </c>
      <c r="E61" s="12">
        <f>IF('DATOS Y RESPUESTAS'!E33="v",1,0)</f>
        <v>0</v>
      </c>
      <c r="F61" s="6">
        <f>IF('DATOS Y RESPUESTAS'!E33="f",1,0)</f>
        <v>1</v>
      </c>
      <c r="G61" s="6"/>
      <c r="H61" s="12">
        <v>70</v>
      </c>
      <c r="I61" s="12">
        <f>IF('DATOS Y RESPUESTAS'!G33="v",1,0)</f>
        <v>1</v>
      </c>
      <c r="J61" s="6">
        <f>IF('DATOS Y RESPUESTAS'!G33="f",1,0)</f>
        <v>0</v>
      </c>
      <c r="K61" s="12">
        <v>95</v>
      </c>
      <c r="L61" s="12">
        <f>IF('DATOS Y RESPUESTAS'!I33="v",1,0)</f>
        <v>0</v>
      </c>
      <c r="M61" s="6">
        <f>IF('DATOS Y RESPUESTAS'!I33="f",1,0)</f>
        <v>1</v>
      </c>
      <c r="N61" s="12">
        <v>120</v>
      </c>
      <c r="O61" s="12">
        <f>IF('DATOS Y RESPUESTAS'!K33="v",1,0)</f>
        <v>0</v>
      </c>
      <c r="P61" s="6">
        <f>IF('DATOS Y RESPUESTAS'!K33="f",1,0)</f>
        <v>1</v>
      </c>
      <c r="Q61" s="12">
        <v>145</v>
      </c>
      <c r="R61" s="12">
        <f>IF('DATOS Y RESPUESTAS'!M33="v",1,0)</f>
        <v>0</v>
      </c>
      <c r="S61" s="6">
        <f>IF('DATOS Y RESPUESTAS'!M33="f",1,0)</f>
        <v>1</v>
      </c>
      <c r="T61" s="6"/>
      <c r="U61" s="6"/>
      <c r="V61" s="12"/>
      <c r="W61" s="12"/>
      <c r="X61" s="12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12"/>
      <c r="BT61" s="12"/>
      <c r="BV61" s="4">
        <v>46</v>
      </c>
      <c r="BW61" s="4">
        <v>95</v>
      </c>
      <c r="BX61" s="4">
        <v>95</v>
      </c>
      <c r="BY61" s="4">
        <v>115</v>
      </c>
      <c r="BZ61" s="4">
        <v>46</v>
      </c>
      <c r="CA61" s="4">
        <v>73</v>
      </c>
      <c r="CB61" s="4">
        <v>98</v>
      </c>
      <c r="CC61" s="4">
        <v>85</v>
      </c>
      <c r="CD61" s="4">
        <v>115</v>
      </c>
      <c r="CE61" s="4">
        <v>53</v>
      </c>
      <c r="CF61" s="4">
        <v>102</v>
      </c>
      <c r="CG61" s="4">
        <v>82</v>
      </c>
      <c r="CH61" s="4">
        <v>115</v>
      </c>
      <c r="CI61" s="4">
        <v>115</v>
      </c>
      <c r="CJ61" s="4">
        <v>93</v>
      </c>
      <c r="CK61" s="4">
        <v>115</v>
      </c>
      <c r="CL61" s="4">
        <v>115</v>
      </c>
      <c r="CM61" s="4">
        <v>115</v>
      </c>
      <c r="CN61" s="4">
        <v>107</v>
      </c>
      <c r="CO61" s="4">
        <v>115</v>
      </c>
      <c r="CP61" s="4">
        <v>115</v>
      </c>
      <c r="CQ61" s="4">
        <v>115</v>
      </c>
      <c r="CR61" s="4">
        <v>109</v>
      </c>
      <c r="CS61" s="4">
        <v>113</v>
      </c>
      <c r="CT61" s="4">
        <v>115</v>
      </c>
      <c r="CU61" s="4">
        <v>109</v>
      </c>
      <c r="CV61" s="4">
        <v>109</v>
      </c>
      <c r="CW61" s="4">
        <v>115</v>
      </c>
      <c r="CX61" s="4">
        <v>100</v>
      </c>
      <c r="CY61" s="4">
        <v>100</v>
      </c>
      <c r="CZ61" s="4">
        <v>85</v>
      </c>
      <c r="DA61" s="4">
        <v>91</v>
      </c>
      <c r="DB61" s="4">
        <v>115</v>
      </c>
      <c r="DC61" s="4">
        <v>50</v>
      </c>
      <c r="DD61" s="4">
        <v>73</v>
      </c>
      <c r="DE61" s="4">
        <v>93</v>
      </c>
      <c r="DF61" s="4">
        <v>85</v>
      </c>
      <c r="DG61" s="4">
        <v>115</v>
      </c>
      <c r="DH61" s="4">
        <v>63</v>
      </c>
      <c r="DI61" s="4">
        <v>111</v>
      </c>
      <c r="DJ61" s="4">
        <v>79</v>
      </c>
      <c r="DK61" s="4">
        <v>115</v>
      </c>
      <c r="DL61" s="4">
        <v>115</v>
      </c>
      <c r="DM61" s="4">
        <v>85</v>
      </c>
      <c r="DN61" s="4">
        <v>115</v>
      </c>
      <c r="DO61" s="4">
        <v>113</v>
      </c>
      <c r="DP61" s="4">
        <v>115</v>
      </c>
      <c r="DQ61" s="4">
        <v>113</v>
      </c>
      <c r="DR61" s="4">
        <v>115</v>
      </c>
      <c r="DS61" s="4">
        <v>115</v>
      </c>
      <c r="DT61" s="4">
        <v>115</v>
      </c>
      <c r="DU61" s="4">
        <v>110</v>
      </c>
      <c r="DV61" s="4">
        <v>112</v>
      </c>
      <c r="DW61" s="4">
        <v>115</v>
      </c>
      <c r="DX61" s="4">
        <v>109</v>
      </c>
      <c r="DY61" s="4">
        <v>111</v>
      </c>
      <c r="DZ61" s="4">
        <v>115</v>
      </c>
      <c r="EA61" s="4">
        <v>100</v>
      </c>
      <c r="EB61" s="4">
        <v>100</v>
      </c>
      <c r="EC61" s="4">
        <v>89</v>
      </c>
      <c r="ED61" s="4">
        <v>75</v>
      </c>
      <c r="EE61" s="4">
        <v>114</v>
      </c>
      <c r="EF61" s="4">
        <v>36</v>
      </c>
      <c r="EG61" s="4">
        <v>90</v>
      </c>
      <c r="EH61" s="4">
        <v>110</v>
      </c>
      <c r="EI61" s="4">
        <v>94</v>
      </c>
      <c r="EJ61" s="4">
        <v>115</v>
      </c>
      <c r="EK61" s="4">
        <v>54</v>
      </c>
      <c r="EL61" s="4">
        <v>95</v>
      </c>
      <c r="EM61" s="4">
        <v>69</v>
      </c>
      <c r="EN61" s="4">
        <v>115</v>
      </c>
      <c r="EO61" s="4">
        <v>115</v>
      </c>
      <c r="EP61" s="4">
        <v>67</v>
      </c>
      <c r="EQ61" s="4">
        <v>115</v>
      </c>
      <c r="ER61" s="4">
        <v>99</v>
      </c>
      <c r="ES61" s="4">
        <v>115</v>
      </c>
      <c r="ET61" s="4">
        <v>113</v>
      </c>
      <c r="EU61" s="4">
        <v>115</v>
      </c>
      <c r="EV61" s="4">
        <v>115</v>
      </c>
      <c r="EW61" s="4">
        <v>115</v>
      </c>
      <c r="EX61" s="4">
        <v>110</v>
      </c>
      <c r="EY61" s="4">
        <v>114</v>
      </c>
      <c r="EZ61" s="4">
        <v>115</v>
      </c>
      <c r="FA61" s="4">
        <v>85</v>
      </c>
      <c r="FB61" s="4">
        <v>96</v>
      </c>
      <c r="FC61" s="4">
        <v>115</v>
      </c>
      <c r="FD61" s="4">
        <v>100</v>
      </c>
      <c r="FE61" s="4">
        <v>100</v>
      </c>
      <c r="FF61" s="4">
        <v>82</v>
      </c>
      <c r="FG61" s="4">
        <v>73</v>
      </c>
      <c r="FH61" s="4">
        <v>112</v>
      </c>
      <c r="FI61" s="4">
        <v>34</v>
      </c>
      <c r="FJ61" s="4">
        <v>85</v>
      </c>
      <c r="FK61" s="4">
        <v>109</v>
      </c>
      <c r="FL61" s="4">
        <v>96</v>
      </c>
      <c r="FM61" s="4">
        <v>115</v>
      </c>
      <c r="FN61" s="4">
        <v>61</v>
      </c>
      <c r="FO61" s="4">
        <v>97</v>
      </c>
      <c r="FP61" s="4">
        <v>64</v>
      </c>
      <c r="FQ61" s="4">
        <v>115</v>
      </c>
      <c r="FR61" s="4">
        <v>115</v>
      </c>
      <c r="FS61" s="4">
        <v>64</v>
      </c>
      <c r="FT61" s="4">
        <v>115</v>
      </c>
      <c r="FU61" s="4">
        <v>110</v>
      </c>
      <c r="FV61" s="4">
        <v>115</v>
      </c>
      <c r="FW61" s="4">
        <v>114</v>
      </c>
      <c r="FX61" s="4">
        <v>115</v>
      </c>
      <c r="FY61" s="4">
        <v>115</v>
      </c>
      <c r="FZ61" s="4">
        <v>115</v>
      </c>
      <c r="GA61" s="4">
        <v>113</v>
      </c>
      <c r="GB61" s="4">
        <v>115</v>
      </c>
      <c r="GC61" s="4">
        <v>115</v>
      </c>
      <c r="GD61" s="4">
        <v>82</v>
      </c>
      <c r="GE61" s="4">
        <v>81</v>
      </c>
      <c r="GF61" s="4">
        <v>115</v>
      </c>
      <c r="GG61" s="4">
        <v>100</v>
      </c>
      <c r="GH61" s="4">
        <v>100</v>
      </c>
      <c r="GJ61" s="4">
        <v>48</v>
      </c>
      <c r="GK61" s="4">
        <v>2</v>
      </c>
      <c r="GL61" s="4">
        <v>25</v>
      </c>
      <c r="GT61" s="4">
        <v>-75</v>
      </c>
      <c r="GU61" s="4">
        <v>-7</v>
      </c>
    </row>
    <row r="62" spans="1:203" hidden="1" x14ac:dyDescent="0.25">
      <c r="A62" s="12">
        <v>21</v>
      </c>
      <c r="B62" s="12">
        <f>IF('DATOS Y RESPUESTAS'!C34="v",1,0)</f>
        <v>0</v>
      </c>
      <c r="C62" s="6">
        <f>IF('DATOS Y RESPUESTAS'!C34="f",1,0)</f>
        <v>1</v>
      </c>
      <c r="D62" s="12">
        <v>46</v>
      </c>
      <c r="E62" s="12">
        <f>IF('DATOS Y RESPUESTAS'!E34="v",1,0)</f>
        <v>1</v>
      </c>
      <c r="F62" s="6">
        <f>IF('DATOS Y RESPUESTAS'!E34="f",1,0)</f>
        <v>0</v>
      </c>
      <c r="G62" s="6"/>
      <c r="H62" s="12">
        <v>71</v>
      </c>
      <c r="I62" s="12">
        <f>IF('DATOS Y RESPUESTAS'!G34="v",1,0)</f>
        <v>1</v>
      </c>
      <c r="J62" s="6">
        <f>IF('DATOS Y RESPUESTAS'!G34="f",1,0)</f>
        <v>0</v>
      </c>
      <c r="K62" s="12">
        <v>96</v>
      </c>
      <c r="L62" s="12">
        <f>IF('DATOS Y RESPUESTAS'!I34="v",1,0)</f>
        <v>1</v>
      </c>
      <c r="M62" s="6">
        <f>IF('DATOS Y RESPUESTAS'!I34="f",1,0)</f>
        <v>0</v>
      </c>
      <c r="N62" s="12">
        <v>121</v>
      </c>
      <c r="O62" s="12">
        <f>IF('DATOS Y RESPUESTAS'!K34="v",1,0)</f>
        <v>0</v>
      </c>
      <c r="P62" s="6">
        <f>IF('DATOS Y RESPUESTAS'!K34="f",1,0)</f>
        <v>1</v>
      </c>
      <c r="Q62" s="12">
        <v>146</v>
      </c>
      <c r="R62" s="12">
        <f>IF('DATOS Y RESPUESTAS'!M34="v",1,0)</f>
        <v>0</v>
      </c>
      <c r="S62" s="6">
        <f>IF('DATOS Y RESPUESTAS'!M34="f",1,0)</f>
        <v>1</v>
      </c>
      <c r="T62" s="6"/>
      <c r="U62" s="6"/>
      <c r="V62" s="12"/>
      <c r="W62" s="12"/>
      <c r="X62" s="12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12"/>
      <c r="BT62" s="12"/>
      <c r="BV62" s="4">
        <v>47</v>
      </c>
      <c r="BW62" s="4">
        <v>100</v>
      </c>
      <c r="BX62" s="4">
        <v>97</v>
      </c>
      <c r="BY62" s="4">
        <v>115</v>
      </c>
      <c r="BZ62" s="4">
        <v>50</v>
      </c>
      <c r="CA62" s="4">
        <v>75</v>
      </c>
      <c r="CB62" s="4">
        <v>102</v>
      </c>
      <c r="CC62" s="4">
        <v>90</v>
      </c>
      <c r="CD62" s="4">
        <v>115</v>
      </c>
      <c r="CE62" s="4">
        <v>55</v>
      </c>
      <c r="CF62" s="4">
        <v>105</v>
      </c>
      <c r="CG62" s="4">
        <v>83</v>
      </c>
      <c r="CH62" s="4">
        <v>115</v>
      </c>
      <c r="CI62" s="4">
        <v>115</v>
      </c>
      <c r="CJ62" s="4">
        <v>96</v>
      </c>
      <c r="CK62" s="4">
        <v>115</v>
      </c>
      <c r="CL62" s="4">
        <v>115</v>
      </c>
      <c r="CM62" s="4">
        <v>115</v>
      </c>
      <c r="CN62" s="4">
        <v>110</v>
      </c>
      <c r="CO62" s="4">
        <v>115</v>
      </c>
      <c r="CP62" s="4">
        <v>115</v>
      </c>
      <c r="CQ62" s="4">
        <v>115</v>
      </c>
      <c r="CR62" s="4">
        <v>111</v>
      </c>
      <c r="CS62" s="4">
        <v>113</v>
      </c>
      <c r="CT62" s="4">
        <v>115</v>
      </c>
      <c r="CU62" s="4">
        <v>110</v>
      </c>
      <c r="CV62" s="4">
        <v>110</v>
      </c>
      <c r="CW62" s="4">
        <v>115</v>
      </c>
      <c r="CX62" s="4">
        <v>100</v>
      </c>
      <c r="CY62" s="4">
        <v>100</v>
      </c>
      <c r="CZ62" s="4">
        <v>96</v>
      </c>
      <c r="DA62" s="4">
        <v>91</v>
      </c>
      <c r="DB62" s="4">
        <v>115</v>
      </c>
      <c r="DC62" s="4">
        <v>53</v>
      </c>
      <c r="DD62" s="4">
        <v>75</v>
      </c>
      <c r="DE62" s="4">
        <v>96</v>
      </c>
      <c r="DF62" s="4">
        <v>87</v>
      </c>
      <c r="DG62" s="4">
        <v>115</v>
      </c>
      <c r="DH62" s="4">
        <v>65</v>
      </c>
      <c r="DI62" s="4">
        <v>114</v>
      </c>
      <c r="DJ62" s="4">
        <v>81</v>
      </c>
      <c r="DK62" s="4">
        <v>115</v>
      </c>
      <c r="DL62" s="4">
        <v>115</v>
      </c>
      <c r="DM62" s="4">
        <v>88</v>
      </c>
      <c r="DN62" s="4">
        <v>115</v>
      </c>
      <c r="DO62" s="4">
        <v>113</v>
      </c>
      <c r="DP62" s="4">
        <v>115</v>
      </c>
      <c r="DQ62" s="4">
        <v>113</v>
      </c>
      <c r="DR62" s="4">
        <v>115</v>
      </c>
      <c r="DS62" s="4">
        <v>115</v>
      </c>
      <c r="DT62" s="4">
        <v>115</v>
      </c>
      <c r="DU62" s="4">
        <v>113</v>
      </c>
      <c r="DV62" s="4">
        <v>115</v>
      </c>
      <c r="DW62" s="4">
        <v>115</v>
      </c>
      <c r="DX62" s="4">
        <v>109</v>
      </c>
      <c r="DY62" s="4">
        <v>111</v>
      </c>
      <c r="DZ62" s="4">
        <v>115</v>
      </c>
      <c r="EA62" s="4">
        <v>100</v>
      </c>
      <c r="EB62" s="4">
        <v>100</v>
      </c>
      <c r="EC62" s="4">
        <v>94</v>
      </c>
      <c r="ED62" s="4">
        <v>81</v>
      </c>
      <c r="EE62" s="4">
        <v>115</v>
      </c>
      <c r="EF62" s="4">
        <v>37</v>
      </c>
      <c r="EG62" s="4">
        <v>92</v>
      </c>
      <c r="EH62" s="4">
        <v>111</v>
      </c>
      <c r="EI62" s="4">
        <v>96</v>
      </c>
      <c r="EJ62" s="4">
        <v>115</v>
      </c>
      <c r="EK62" s="4">
        <v>57</v>
      </c>
      <c r="EL62" s="4">
        <v>97</v>
      </c>
      <c r="EM62" s="4">
        <v>70</v>
      </c>
      <c r="EN62" s="4">
        <v>115</v>
      </c>
      <c r="EO62" s="4">
        <v>115</v>
      </c>
      <c r="EP62" s="4">
        <v>70</v>
      </c>
      <c r="EQ62" s="4">
        <v>115</v>
      </c>
      <c r="ER62" s="4">
        <v>105</v>
      </c>
      <c r="ES62" s="4">
        <v>115</v>
      </c>
      <c r="ET62" s="4">
        <v>114</v>
      </c>
      <c r="EU62" s="4">
        <v>115</v>
      </c>
      <c r="EV62" s="4">
        <v>115</v>
      </c>
      <c r="EW62" s="4">
        <v>115</v>
      </c>
      <c r="EX62" s="4">
        <v>111</v>
      </c>
      <c r="EY62" s="4">
        <v>114</v>
      </c>
      <c r="EZ62" s="4">
        <v>115</v>
      </c>
      <c r="FA62" s="4">
        <v>94</v>
      </c>
      <c r="FB62" s="4">
        <v>99</v>
      </c>
      <c r="FC62" s="4">
        <v>115</v>
      </c>
      <c r="FD62" s="4">
        <v>100</v>
      </c>
      <c r="FE62" s="4">
        <v>100</v>
      </c>
      <c r="FF62" s="4">
        <v>83</v>
      </c>
      <c r="FG62" s="4">
        <v>75</v>
      </c>
      <c r="FH62" s="4">
        <v>113</v>
      </c>
      <c r="FI62" s="4">
        <v>37</v>
      </c>
      <c r="FJ62" s="4">
        <v>92</v>
      </c>
      <c r="FK62" s="4">
        <v>109</v>
      </c>
      <c r="FL62" s="4">
        <v>97</v>
      </c>
      <c r="FM62" s="4">
        <v>115</v>
      </c>
      <c r="FN62" s="4">
        <v>65</v>
      </c>
      <c r="FO62" s="4">
        <v>99</v>
      </c>
      <c r="FP62" s="4">
        <v>66</v>
      </c>
      <c r="FQ62" s="4">
        <v>115</v>
      </c>
      <c r="FR62" s="4">
        <v>115</v>
      </c>
      <c r="FS62" s="4">
        <v>65</v>
      </c>
      <c r="FT62" s="4">
        <v>115</v>
      </c>
      <c r="FU62" s="4">
        <v>112</v>
      </c>
      <c r="FV62" s="4">
        <v>115</v>
      </c>
      <c r="FW62" s="4">
        <v>114</v>
      </c>
      <c r="FX62" s="4">
        <v>115</v>
      </c>
      <c r="FY62" s="4">
        <v>115</v>
      </c>
      <c r="FZ62" s="4">
        <v>115</v>
      </c>
      <c r="GA62" s="4">
        <v>114</v>
      </c>
      <c r="GB62" s="4">
        <v>115</v>
      </c>
      <c r="GC62" s="4">
        <v>115</v>
      </c>
      <c r="GD62" s="4">
        <v>85</v>
      </c>
      <c r="GE62" s="4">
        <v>85</v>
      </c>
      <c r="GF62" s="4">
        <v>115</v>
      </c>
      <c r="GG62" s="4">
        <v>100</v>
      </c>
      <c r="GH62" s="4">
        <v>100</v>
      </c>
      <c r="GJ62" s="4">
        <v>49</v>
      </c>
      <c r="GK62" s="4">
        <v>2</v>
      </c>
      <c r="GL62" s="4">
        <v>25</v>
      </c>
      <c r="GT62" s="4">
        <v>-74</v>
      </c>
      <c r="GU62" s="4">
        <v>-7</v>
      </c>
    </row>
    <row r="63" spans="1:203" hidden="1" x14ac:dyDescent="0.25">
      <c r="A63" s="12">
        <v>22</v>
      </c>
      <c r="B63" s="12">
        <f>IF('DATOS Y RESPUESTAS'!C35="v",1,0)</f>
        <v>0</v>
      </c>
      <c r="C63" s="6">
        <f>IF('DATOS Y RESPUESTAS'!C35="f",1,0)</f>
        <v>1</v>
      </c>
      <c r="D63" s="12">
        <v>47</v>
      </c>
      <c r="E63" s="12">
        <f>IF('DATOS Y RESPUESTAS'!E35="v",1,0)</f>
        <v>0</v>
      </c>
      <c r="F63" s="6">
        <f>IF('DATOS Y RESPUESTAS'!E35="f",1,0)</f>
        <v>1</v>
      </c>
      <c r="G63" s="6"/>
      <c r="H63" s="12">
        <v>72</v>
      </c>
      <c r="I63" s="12">
        <f>IF('DATOS Y RESPUESTAS'!G35="v",1,0)</f>
        <v>1</v>
      </c>
      <c r="J63" s="6">
        <f>IF('DATOS Y RESPUESTAS'!G35="f",1,0)</f>
        <v>0</v>
      </c>
      <c r="K63" s="12">
        <v>97</v>
      </c>
      <c r="L63" s="12">
        <f>IF('DATOS Y RESPUESTAS'!I35="v",1,0)</f>
        <v>0</v>
      </c>
      <c r="M63" s="6">
        <f>IF('DATOS Y RESPUESTAS'!I35="f",1,0)</f>
        <v>1</v>
      </c>
      <c r="N63" s="12">
        <v>122</v>
      </c>
      <c r="O63" s="12">
        <f>IF('DATOS Y RESPUESTAS'!K35="v",1,0)</f>
        <v>0</v>
      </c>
      <c r="P63" s="6">
        <f>IF('DATOS Y RESPUESTAS'!K35="f",1,0)</f>
        <v>1</v>
      </c>
      <c r="Q63" s="12">
        <v>147</v>
      </c>
      <c r="R63" s="12">
        <f>IF('DATOS Y RESPUESTAS'!M35="v",1,0)</f>
        <v>0</v>
      </c>
      <c r="S63" s="6">
        <f>IF('DATOS Y RESPUESTAS'!M35="f",1,0)</f>
        <v>1</v>
      </c>
      <c r="T63" s="6"/>
      <c r="U63" s="6"/>
      <c r="V63" s="12"/>
      <c r="W63" s="12"/>
      <c r="X63" s="12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12"/>
      <c r="BT63" s="12"/>
      <c r="BV63" s="4">
        <v>48</v>
      </c>
      <c r="BW63" s="4">
        <v>103</v>
      </c>
      <c r="BX63" s="4">
        <v>99</v>
      </c>
      <c r="BY63" s="4">
        <v>115</v>
      </c>
      <c r="BZ63" s="4">
        <v>54</v>
      </c>
      <c r="CA63" s="4">
        <v>79</v>
      </c>
      <c r="CB63" s="4">
        <v>105</v>
      </c>
      <c r="CC63" s="4">
        <v>94</v>
      </c>
      <c r="CD63" s="4">
        <v>115</v>
      </c>
      <c r="CE63" s="4">
        <v>58</v>
      </c>
      <c r="CF63" s="4">
        <v>110</v>
      </c>
      <c r="CG63" s="4">
        <v>84</v>
      </c>
      <c r="CH63" s="4">
        <v>115</v>
      </c>
      <c r="CI63" s="4">
        <v>115</v>
      </c>
      <c r="CJ63" s="4">
        <v>97</v>
      </c>
      <c r="CK63" s="4">
        <v>115</v>
      </c>
      <c r="CL63" s="4">
        <v>115</v>
      </c>
      <c r="CM63" s="4">
        <v>115</v>
      </c>
      <c r="CN63" s="4">
        <v>110</v>
      </c>
      <c r="CO63" s="4">
        <v>115</v>
      </c>
      <c r="CP63" s="4">
        <v>115</v>
      </c>
      <c r="CQ63" s="4">
        <v>115</v>
      </c>
      <c r="CR63" s="4">
        <v>111</v>
      </c>
      <c r="CS63" s="4">
        <v>113</v>
      </c>
      <c r="CT63" s="4">
        <v>115</v>
      </c>
      <c r="CU63" s="4">
        <v>111</v>
      </c>
      <c r="CV63" s="4">
        <v>112</v>
      </c>
      <c r="CW63" s="4">
        <v>115</v>
      </c>
      <c r="CX63" s="4">
        <v>100</v>
      </c>
      <c r="CY63" s="4">
        <v>100</v>
      </c>
      <c r="CZ63" s="4">
        <v>96</v>
      </c>
      <c r="DA63" s="4">
        <v>95</v>
      </c>
      <c r="DB63" s="4">
        <v>115</v>
      </c>
      <c r="DC63" s="4">
        <v>55</v>
      </c>
      <c r="DD63" s="4">
        <v>80</v>
      </c>
      <c r="DE63" s="4">
        <v>99</v>
      </c>
      <c r="DF63" s="4">
        <v>89</v>
      </c>
      <c r="DG63" s="4">
        <v>115</v>
      </c>
      <c r="DH63" s="4">
        <v>65</v>
      </c>
      <c r="DI63" s="4">
        <v>114</v>
      </c>
      <c r="DJ63" s="4">
        <v>83</v>
      </c>
      <c r="DK63" s="4">
        <v>115</v>
      </c>
      <c r="DL63" s="4">
        <v>115</v>
      </c>
      <c r="DM63" s="4">
        <v>88</v>
      </c>
      <c r="DN63" s="4">
        <v>115</v>
      </c>
      <c r="DO63" s="4">
        <v>113</v>
      </c>
      <c r="DP63" s="4">
        <v>115</v>
      </c>
      <c r="DQ63" s="4">
        <v>113</v>
      </c>
      <c r="DR63" s="4">
        <v>115</v>
      </c>
      <c r="DS63" s="4">
        <v>115</v>
      </c>
      <c r="DT63" s="4">
        <v>115</v>
      </c>
      <c r="DU63" s="4">
        <v>113</v>
      </c>
      <c r="DV63" s="4">
        <v>115</v>
      </c>
      <c r="DW63" s="4">
        <v>115</v>
      </c>
      <c r="DX63" s="4">
        <v>109</v>
      </c>
      <c r="DY63" s="4">
        <v>111</v>
      </c>
      <c r="DZ63" s="4">
        <v>115</v>
      </c>
      <c r="EA63" s="4">
        <v>100</v>
      </c>
      <c r="EB63" s="4">
        <v>100</v>
      </c>
      <c r="EC63" s="4">
        <v>99</v>
      </c>
      <c r="ED63" s="4">
        <v>83</v>
      </c>
      <c r="EE63" s="4">
        <v>115</v>
      </c>
      <c r="EF63" s="4">
        <v>40</v>
      </c>
      <c r="EG63" s="4">
        <v>97</v>
      </c>
      <c r="EH63" s="4">
        <v>112</v>
      </c>
      <c r="EI63" s="4">
        <v>98</v>
      </c>
      <c r="EJ63" s="4">
        <v>115</v>
      </c>
      <c r="EK63" s="4">
        <v>59</v>
      </c>
      <c r="EL63" s="4">
        <v>101</v>
      </c>
      <c r="EM63" s="4">
        <v>72</v>
      </c>
      <c r="EN63" s="4">
        <v>115</v>
      </c>
      <c r="EO63" s="4">
        <v>115</v>
      </c>
      <c r="EP63" s="4">
        <v>72</v>
      </c>
      <c r="EQ63" s="4">
        <v>115</v>
      </c>
      <c r="ER63" s="4">
        <v>110</v>
      </c>
      <c r="ES63" s="4">
        <v>115</v>
      </c>
      <c r="ET63" s="4">
        <v>114</v>
      </c>
      <c r="EU63" s="4">
        <v>115</v>
      </c>
      <c r="EV63" s="4">
        <v>115</v>
      </c>
      <c r="EW63" s="4">
        <v>115</v>
      </c>
      <c r="EX63" s="4">
        <v>111</v>
      </c>
      <c r="EY63" s="4">
        <v>114</v>
      </c>
      <c r="EZ63" s="4">
        <v>115</v>
      </c>
      <c r="FA63" s="4">
        <v>97</v>
      </c>
      <c r="FB63" s="4">
        <v>103</v>
      </c>
      <c r="FC63" s="4">
        <v>115</v>
      </c>
      <c r="FD63" s="4">
        <v>100</v>
      </c>
      <c r="FE63" s="4">
        <v>100</v>
      </c>
      <c r="FF63" s="4">
        <v>85</v>
      </c>
      <c r="FG63" s="4">
        <v>77</v>
      </c>
      <c r="FH63" s="4">
        <v>115</v>
      </c>
      <c r="FI63" s="4">
        <v>40</v>
      </c>
      <c r="FJ63" s="4">
        <v>99</v>
      </c>
      <c r="FK63" s="4">
        <v>109</v>
      </c>
      <c r="FL63" s="4">
        <v>97</v>
      </c>
      <c r="FM63" s="4">
        <v>115</v>
      </c>
      <c r="FN63" s="4">
        <v>67</v>
      </c>
      <c r="FO63" s="4">
        <v>104</v>
      </c>
      <c r="FP63" s="4">
        <v>68</v>
      </c>
      <c r="FQ63" s="4">
        <v>115</v>
      </c>
      <c r="FR63" s="4">
        <v>115</v>
      </c>
      <c r="FS63" s="4">
        <v>66</v>
      </c>
      <c r="FT63" s="4">
        <v>115</v>
      </c>
      <c r="FU63" s="4">
        <v>112</v>
      </c>
      <c r="FV63" s="4">
        <v>115</v>
      </c>
      <c r="FW63" s="4">
        <v>114</v>
      </c>
      <c r="FX63" s="4">
        <v>115</v>
      </c>
      <c r="FY63" s="4">
        <v>115</v>
      </c>
      <c r="FZ63" s="4">
        <v>115</v>
      </c>
      <c r="GA63" s="4">
        <v>114</v>
      </c>
      <c r="GB63" s="4">
        <v>115</v>
      </c>
      <c r="GC63" s="4">
        <v>115</v>
      </c>
      <c r="GD63" s="4">
        <v>92</v>
      </c>
      <c r="GE63" s="4">
        <v>92</v>
      </c>
      <c r="GF63" s="4">
        <v>115</v>
      </c>
      <c r="GG63" s="4">
        <v>100</v>
      </c>
      <c r="GH63" s="4">
        <v>100</v>
      </c>
      <c r="GJ63" s="4">
        <v>50</v>
      </c>
      <c r="GK63" s="4">
        <v>2</v>
      </c>
      <c r="GL63" s="4">
        <v>25</v>
      </c>
      <c r="GT63" s="4">
        <v>-73</v>
      </c>
      <c r="GU63" s="4">
        <v>-7</v>
      </c>
    </row>
    <row r="64" spans="1:203" hidden="1" x14ac:dyDescent="0.25">
      <c r="A64" s="12">
        <v>23</v>
      </c>
      <c r="B64" s="12">
        <f>IF('DATOS Y RESPUESTAS'!C36="v",1,0)</f>
        <v>0</v>
      </c>
      <c r="C64" s="6">
        <f>IF('DATOS Y RESPUESTAS'!C36="f",1,0)</f>
        <v>1</v>
      </c>
      <c r="D64" s="12">
        <v>48</v>
      </c>
      <c r="E64" s="12">
        <f>IF('DATOS Y RESPUESTAS'!E36="v",1,0)</f>
        <v>1</v>
      </c>
      <c r="F64" s="6">
        <f>IF('DATOS Y RESPUESTAS'!E36="f",1,0)</f>
        <v>0</v>
      </c>
      <c r="G64" s="6"/>
      <c r="H64" s="12">
        <v>73</v>
      </c>
      <c r="I64" s="12">
        <f>IF('DATOS Y RESPUESTAS'!G36="v",1,0)</f>
        <v>0</v>
      </c>
      <c r="J64" s="6">
        <f>IF('DATOS Y RESPUESTAS'!G36="f",1,0)</f>
        <v>1</v>
      </c>
      <c r="K64" s="12">
        <v>98</v>
      </c>
      <c r="L64" s="12">
        <f>IF('DATOS Y RESPUESTAS'!I36="v",1,0)</f>
        <v>0</v>
      </c>
      <c r="M64" s="6">
        <f>IF('DATOS Y RESPUESTAS'!I36="f",1,0)</f>
        <v>1</v>
      </c>
      <c r="N64" s="12">
        <v>123</v>
      </c>
      <c r="O64" s="12">
        <f>IF('DATOS Y RESPUESTAS'!K36="v",1,0)</f>
        <v>0</v>
      </c>
      <c r="P64" s="6">
        <f>IF('DATOS Y RESPUESTAS'!K36="f",1,0)</f>
        <v>1</v>
      </c>
      <c r="Q64" s="12">
        <v>148</v>
      </c>
      <c r="R64" s="12">
        <f>IF('DATOS Y RESPUESTAS'!M36="v",1,0)</f>
        <v>0</v>
      </c>
      <c r="S64" s="6">
        <f>IF('DATOS Y RESPUESTAS'!M36="f",1,0)</f>
        <v>1</v>
      </c>
      <c r="T64" s="6"/>
      <c r="U64" s="6"/>
      <c r="V64" s="12"/>
      <c r="W64" s="12"/>
      <c r="X64" s="12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12"/>
      <c r="BT64" s="12"/>
      <c r="BV64" s="4">
        <v>49</v>
      </c>
      <c r="BW64" s="4">
        <v>106</v>
      </c>
      <c r="BX64" s="4">
        <v>99</v>
      </c>
      <c r="BY64" s="4">
        <v>115</v>
      </c>
      <c r="BZ64" s="4">
        <v>56</v>
      </c>
      <c r="CA64" s="4">
        <v>82</v>
      </c>
      <c r="CB64" s="4">
        <v>106</v>
      </c>
      <c r="CC64" s="4">
        <v>96</v>
      </c>
      <c r="CD64" s="4">
        <v>115</v>
      </c>
      <c r="CE64" s="4">
        <v>61</v>
      </c>
      <c r="CF64" s="4">
        <v>110</v>
      </c>
      <c r="CG64" s="4">
        <v>85</v>
      </c>
      <c r="CH64" s="4">
        <v>115</v>
      </c>
      <c r="CI64" s="4">
        <v>115</v>
      </c>
      <c r="CJ64" s="4">
        <v>98</v>
      </c>
      <c r="CK64" s="4">
        <v>115</v>
      </c>
      <c r="CL64" s="4">
        <v>115</v>
      </c>
      <c r="CM64" s="4">
        <v>115</v>
      </c>
      <c r="CN64" s="4">
        <v>110</v>
      </c>
      <c r="CO64" s="4">
        <v>115</v>
      </c>
      <c r="CP64" s="4">
        <v>115</v>
      </c>
      <c r="CQ64" s="4">
        <v>115</v>
      </c>
      <c r="CR64" s="4">
        <v>112</v>
      </c>
      <c r="CS64" s="4">
        <v>115</v>
      </c>
      <c r="CT64" s="4">
        <v>115</v>
      </c>
      <c r="CU64" s="4">
        <v>111</v>
      </c>
      <c r="CV64" s="4">
        <v>112</v>
      </c>
      <c r="CW64" s="4">
        <v>115</v>
      </c>
      <c r="CX64" s="4">
        <v>100</v>
      </c>
      <c r="CY64" s="4">
        <v>100</v>
      </c>
      <c r="CZ64" s="4">
        <v>100</v>
      </c>
      <c r="DA64" s="4">
        <v>101</v>
      </c>
      <c r="DB64" s="4">
        <v>115</v>
      </c>
      <c r="DC64" s="4">
        <v>57</v>
      </c>
      <c r="DD64" s="4">
        <v>85</v>
      </c>
      <c r="DE64" s="4">
        <v>107</v>
      </c>
      <c r="DF64" s="4">
        <v>91</v>
      </c>
      <c r="DG64" s="4">
        <v>115</v>
      </c>
      <c r="DH64" s="4">
        <v>68</v>
      </c>
      <c r="DI64" s="4">
        <v>115</v>
      </c>
      <c r="DJ64" s="4">
        <v>85</v>
      </c>
      <c r="DK64" s="4">
        <v>115</v>
      </c>
      <c r="DL64" s="4">
        <v>115</v>
      </c>
      <c r="DM64" s="4">
        <v>91</v>
      </c>
      <c r="DN64" s="4">
        <v>115</v>
      </c>
      <c r="DO64" s="4">
        <v>113</v>
      </c>
      <c r="DP64" s="4">
        <v>115</v>
      </c>
      <c r="DQ64" s="4">
        <v>113</v>
      </c>
      <c r="DR64" s="4">
        <v>115</v>
      </c>
      <c r="DS64" s="4">
        <v>115</v>
      </c>
      <c r="DT64" s="4">
        <v>115</v>
      </c>
      <c r="DU64" s="4">
        <v>113</v>
      </c>
      <c r="DV64" s="4">
        <v>115</v>
      </c>
      <c r="DW64" s="4">
        <v>115</v>
      </c>
      <c r="DX64" s="4">
        <v>109</v>
      </c>
      <c r="DY64" s="4">
        <v>113</v>
      </c>
      <c r="DZ64" s="4">
        <v>115</v>
      </c>
      <c r="EA64" s="4">
        <v>100</v>
      </c>
      <c r="EB64" s="4">
        <v>100</v>
      </c>
      <c r="EC64" s="4">
        <v>102</v>
      </c>
      <c r="ED64" s="4">
        <v>85</v>
      </c>
      <c r="EE64" s="4">
        <v>115</v>
      </c>
      <c r="EF64" s="4">
        <v>42</v>
      </c>
      <c r="EG64" s="4">
        <v>102</v>
      </c>
      <c r="EH64" s="4">
        <v>113</v>
      </c>
      <c r="EI64" s="4">
        <v>100</v>
      </c>
      <c r="EJ64" s="4">
        <v>115</v>
      </c>
      <c r="EK64" s="4">
        <v>62</v>
      </c>
      <c r="EL64" s="4">
        <v>104</v>
      </c>
      <c r="EM64" s="4">
        <v>73</v>
      </c>
      <c r="EN64" s="4">
        <v>115</v>
      </c>
      <c r="EO64" s="4">
        <v>115</v>
      </c>
      <c r="EP64" s="4">
        <v>73</v>
      </c>
      <c r="EQ64" s="4">
        <v>115</v>
      </c>
      <c r="ER64" s="4">
        <v>111</v>
      </c>
      <c r="ES64" s="4">
        <v>115</v>
      </c>
      <c r="ET64" s="4">
        <v>114</v>
      </c>
      <c r="EU64" s="4">
        <v>115</v>
      </c>
      <c r="EV64" s="4">
        <v>115</v>
      </c>
      <c r="EW64" s="4">
        <v>115</v>
      </c>
      <c r="EX64" s="4">
        <v>112</v>
      </c>
      <c r="EY64" s="4">
        <v>115</v>
      </c>
      <c r="EZ64" s="4">
        <v>115</v>
      </c>
      <c r="FA64" s="4">
        <v>103</v>
      </c>
      <c r="FB64" s="4">
        <v>105</v>
      </c>
      <c r="FC64" s="4">
        <v>115</v>
      </c>
      <c r="FD64" s="4">
        <v>100</v>
      </c>
      <c r="FE64" s="4">
        <v>100</v>
      </c>
      <c r="FF64" s="4">
        <v>89</v>
      </c>
      <c r="FG64" s="4">
        <v>78</v>
      </c>
      <c r="FH64" s="4">
        <v>115</v>
      </c>
      <c r="FI64" s="4">
        <v>42</v>
      </c>
      <c r="FJ64" s="4">
        <v>103</v>
      </c>
      <c r="FK64" s="4">
        <v>113</v>
      </c>
      <c r="FL64" s="4">
        <v>102</v>
      </c>
      <c r="FM64" s="4">
        <v>115</v>
      </c>
      <c r="FN64" s="4">
        <v>71</v>
      </c>
      <c r="FO64" s="4">
        <v>110</v>
      </c>
      <c r="FP64" s="4">
        <v>69</v>
      </c>
      <c r="FQ64" s="4">
        <v>115</v>
      </c>
      <c r="FR64" s="4">
        <v>115</v>
      </c>
      <c r="FS64" s="4">
        <v>68</v>
      </c>
      <c r="FT64" s="4">
        <v>115</v>
      </c>
      <c r="FU64" s="4">
        <v>113</v>
      </c>
      <c r="FV64" s="4">
        <v>115</v>
      </c>
      <c r="FW64" s="4">
        <v>114</v>
      </c>
      <c r="FX64" s="4">
        <v>115</v>
      </c>
      <c r="FY64" s="4">
        <v>115</v>
      </c>
      <c r="FZ64" s="4">
        <v>115</v>
      </c>
      <c r="GA64" s="4">
        <v>114</v>
      </c>
      <c r="GB64" s="4">
        <v>115</v>
      </c>
      <c r="GC64" s="4">
        <v>115</v>
      </c>
      <c r="GD64" s="4">
        <v>98</v>
      </c>
      <c r="GE64" s="4">
        <v>100</v>
      </c>
      <c r="GF64" s="4">
        <v>115</v>
      </c>
      <c r="GG64" s="4">
        <v>100</v>
      </c>
      <c r="GH64" s="4">
        <v>100</v>
      </c>
      <c r="GJ64" s="4">
        <v>51</v>
      </c>
      <c r="GK64" s="4">
        <v>2</v>
      </c>
      <c r="GL64" s="4">
        <v>25</v>
      </c>
      <c r="GT64" s="4">
        <v>-72</v>
      </c>
      <c r="GU64" s="4">
        <v>-7</v>
      </c>
    </row>
    <row r="65" spans="1:255" hidden="1" x14ac:dyDescent="0.25">
      <c r="A65" s="12">
        <v>24</v>
      </c>
      <c r="B65" s="12">
        <f>IF('DATOS Y RESPUESTAS'!C37="v",1,0)</f>
        <v>1</v>
      </c>
      <c r="C65" s="6">
        <f>IF('DATOS Y RESPUESTAS'!C37="f",1,0)</f>
        <v>0</v>
      </c>
      <c r="D65" s="12">
        <v>49</v>
      </c>
      <c r="E65" s="12">
        <f>IF('DATOS Y RESPUESTAS'!E37="v",1,0)</f>
        <v>1</v>
      </c>
      <c r="F65" s="6">
        <f>IF('DATOS Y RESPUESTAS'!E37="f",1,0)</f>
        <v>0</v>
      </c>
      <c r="G65" s="6"/>
      <c r="H65" s="12">
        <v>74</v>
      </c>
      <c r="I65" s="12">
        <f>IF('DATOS Y RESPUESTAS'!G37="v",1,0)</f>
        <v>0</v>
      </c>
      <c r="J65" s="6">
        <f>IF('DATOS Y RESPUESTAS'!G37="f",1,0)</f>
        <v>1</v>
      </c>
      <c r="K65" s="12">
        <v>99</v>
      </c>
      <c r="L65" s="12">
        <f>IF('DATOS Y RESPUESTAS'!I37="v",1,0)</f>
        <v>0</v>
      </c>
      <c r="M65" s="6">
        <f>IF('DATOS Y RESPUESTAS'!I37="f",1,0)</f>
        <v>1</v>
      </c>
      <c r="N65" s="12">
        <v>124</v>
      </c>
      <c r="O65" s="12">
        <f>IF('DATOS Y RESPUESTAS'!K37="v",1,0)</f>
        <v>1</v>
      </c>
      <c r="P65" s="6">
        <f>IF('DATOS Y RESPUESTAS'!K37="f",1,0)</f>
        <v>0</v>
      </c>
      <c r="Q65" s="12">
        <v>149</v>
      </c>
      <c r="R65" s="12">
        <f>IF('DATOS Y RESPUESTAS'!M37="v",1,0)</f>
        <v>0</v>
      </c>
      <c r="S65" s="6">
        <f>IF('DATOS Y RESPUESTAS'!M37="f",1,0)</f>
        <v>1</v>
      </c>
      <c r="T65" s="6"/>
      <c r="U65" s="6"/>
      <c r="V65" s="12"/>
      <c r="W65" s="12"/>
      <c r="X65" s="12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12"/>
      <c r="BT65" s="12"/>
      <c r="BV65" s="4">
        <v>50</v>
      </c>
      <c r="BW65" s="4">
        <v>107</v>
      </c>
      <c r="BX65" s="4">
        <v>100</v>
      </c>
      <c r="BY65" s="4">
        <v>115</v>
      </c>
      <c r="BZ65" s="4">
        <v>59</v>
      </c>
      <c r="CA65" s="4">
        <v>85</v>
      </c>
      <c r="CB65" s="4">
        <v>110</v>
      </c>
      <c r="CC65" s="4">
        <v>100</v>
      </c>
      <c r="CD65" s="4">
        <v>115</v>
      </c>
      <c r="CE65" s="4">
        <v>63</v>
      </c>
      <c r="CF65" s="4">
        <v>111</v>
      </c>
      <c r="CG65" s="4">
        <v>86</v>
      </c>
      <c r="CH65" s="4">
        <v>115</v>
      </c>
      <c r="CI65" s="4">
        <v>115</v>
      </c>
      <c r="CJ65" s="4">
        <v>100</v>
      </c>
      <c r="CK65" s="4">
        <v>115</v>
      </c>
      <c r="CL65" s="4">
        <v>115</v>
      </c>
      <c r="CM65" s="4">
        <v>115</v>
      </c>
      <c r="CN65" s="4">
        <v>114</v>
      </c>
      <c r="CO65" s="4">
        <v>115</v>
      </c>
      <c r="CP65" s="4">
        <v>115</v>
      </c>
      <c r="CQ65" s="4">
        <v>115</v>
      </c>
      <c r="CR65" s="4">
        <v>114</v>
      </c>
      <c r="CS65" s="4">
        <v>115</v>
      </c>
      <c r="CT65" s="4">
        <v>115</v>
      </c>
      <c r="CU65" s="4">
        <v>112</v>
      </c>
      <c r="CV65" s="4">
        <v>112</v>
      </c>
      <c r="CW65" s="4">
        <v>115</v>
      </c>
      <c r="CX65" s="4">
        <v>100</v>
      </c>
      <c r="CY65" s="4">
        <v>100</v>
      </c>
      <c r="CZ65" s="4">
        <v>100</v>
      </c>
      <c r="DA65" s="4">
        <v>101</v>
      </c>
      <c r="DB65" s="4">
        <v>115</v>
      </c>
      <c r="DC65" s="4">
        <v>59</v>
      </c>
      <c r="DD65" s="4">
        <v>93</v>
      </c>
      <c r="DE65" s="4">
        <v>110</v>
      </c>
      <c r="DF65" s="4">
        <v>96</v>
      </c>
      <c r="DG65" s="4">
        <v>115</v>
      </c>
      <c r="DH65" s="4">
        <v>69</v>
      </c>
      <c r="DI65" s="4">
        <v>115</v>
      </c>
      <c r="DJ65" s="4">
        <v>86</v>
      </c>
      <c r="DK65" s="4">
        <v>115</v>
      </c>
      <c r="DL65" s="4">
        <v>115</v>
      </c>
      <c r="DM65" s="4">
        <v>94</v>
      </c>
      <c r="DN65" s="4">
        <v>115</v>
      </c>
      <c r="DO65" s="4">
        <v>113</v>
      </c>
      <c r="DP65" s="4">
        <v>115</v>
      </c>
      <c r="DQ65" s="4">
        <v>113</v>
      </c>
      <c r="DR65" s="4">
        <v>115</v>
      </c>
      <c r="DS65" s="4">
        <v>115</v>
      </c>
      <c r="DT65" s="4">
        <v>115</v>
      </c>
      <c r="DU65" s="4">
        <v>113</v>
      </c>
      <c r="DV65" s="4">
        <v>115</v>
      </c>
      <c r="DW65" s="4">
        <v>115</v>
      </c>
      <c r="DX65" s="4">
        <v>112</v>
      </c>
      <c r="DY65" s="4">
        <v>113</v>
      </c>
      <c r="DZ65" s="4">
        <v>115</v>
      </c>
      <c r="EA65" s="4">
        <v>100</v>
      </c>
      <c r="EB65" s="4">
        <v>100</v>
      </c>
      <c r="EC65" s="4">
        <v>105</v>
      </c>
      <c r="ED65" s="4">
        <v>88</v>
      </c>
      <c r="EE65" s="4">
        <v>115</v>
      </c>
      <c r="EF65" s="4">
        <v>45</v>
      </c>
      <c r="EG65" s="4">
        <v>106</v>
      </c>
      <c r="EH65" s="4">
        <v>114</v>
      </c>
      <c r="EI65" s="4">
        <v>101</v>
      </c>
      <c r="EJ65" s="4">
        <v>115</v>
      </c>
      <c r="EK65" s="4">
        <v>65</v>
      </c>
      <c r="EL65" s="4">
        <v>106</v>
      </c>
      <c r="EM65" s="4">
        <v>74</v>
      </c>
      <c r="EN65" s="4">
        <v>115</v>
      </c>
      <c r="EO65" s="4">
        <v>115</v>
      </c>
      <c r="EP65" s="4">
        <v>74</v>
      </c>
      <c r="EQ65" s="4">
        <v>115</v>
      </c>
      <c r="ER65" s="4">
        <v>111</v>
      </c>
      <c r="ES65" s="4">
        <v>115</v>
      </c>
      <c r="ET65" s="4">
        <v>114</v>
      </c>
      <c r="EU65" s="4">
        <v>115</v>
      </c>
      <c r="EV65" s="4">
        <v>115</v>
      </c>
      <c r="EW65" s="4">
        <v>115</v>
      </c>
      <c r="EX65" s="4">
        <v>112</v>
      </c>
      <c r="EY65" s="4">
        <v>115</v>
      </c>
      <c r="EZ65" s="4">
        <v>115</v>
      </c>
      <c r="FA65" s="4">
        <v>105</v>
      </c>
      <c r="FB65" s="4">
        <v>109</v>
      </c>
      <c r="FC65" s="4">
        <v>115</v>
      </c>
      <c r="FD65" s="4">
        <v>100</v>
      </c>
      <c r="FE65" s="4">
        <v>100</v>
      </c>
      <c r="FF65" s="4">
        <v>91</v>
      </c>
      <c r="FG65" s="4">
        <v>81</v>
      </c>
      <c r="FH65" s="4">
        <v>115</v>
      </c>
      <c r="FI65" s="4">
        <v>44</v>
      </c>
      <c r="FJ65" s="4">
        <v>106</v>
      </c>
      <c r="FK65" s="4">
        <v>113</v>
      </c>
      <c r="FL65" s="4">
        <v>105</v>
      </c>
      <c r="FM65" s="4">
        <v>115</v>
      </c>
      <c r="FN65" s="4">
        <v>72</v>
      </c>
      <c r="FO65" s="4">
        <v>112</v>
      </c>
      <c r="FP65" s="4">
        <v>70</v>
      </c>
      <c r="FQ65" s="4">
        <v>115</v>
      </c>
      <c r="FR65" s="4">
        <v>115</v>
      </c>
      <c r="FS65" s="4">
        <v>70</v>
      </c>
      <c r="FT65" s="4">
        <v>115</v>
      </c>
      <c r="FU65" s="4">
        <v>113</v>
      </c>
      <c r="FV65" s="4">
        <v>115</v>
      </c>
      <c r="FW65" s="4">
        <v>114</v>
      </c>
      <c r="FX65" s="4">
        <v>115</v>
      </c>
      <c r="FY65" s="4">
        <v>115</v>
      </c>
      <c r="FZ65" s="4">
        <v>115</v>
      </c>
      <c r="GA65" s="4">
        <v>114</v>
      </c>
      <c r="GB65" s="4">
        <v>115</v>
      </c>
      <c r="GC65" s="4">
        <v>115</v>
      </c>
      <c r="GD65" s="4">
        <v>107</v>
      </c>
      <c r="GE65" s="4">
        <v>104</v>
      </c>
      <c r="GF65" s="4">
        <v>115</v>
      </c>
      <c r="GG65" s="4">
        <v>100</v>
      </c>
      <c r="GH65" s="4">
        <v>100</v>
      </c>
      <c r="GJ65" s="4">
        <v>52</v>
      </c>
      <c r="GK65" s="4">
        <v>2</v>
      </c>
      <c r="GL65" s="4">
        <v>25</v>
      </c>
      <c r="GT65" s="4">
        <v>-71</v>
      </c>
      <c r="GU65" s="4">
        <v>-7</v>
      </c>
    </row>
    <row r="66" spans="1:255" hidden="1" x14ac:dyDescent="0.25">
      <c r="A66" s="12">
        <v>25</v>
      </c>
      <c r="B66" s="12">
        <f>IF('DATOS Y RESPUESTAS'!C38="v",1,0)</f>
        <v>0</v>
      </c>
      <c r="C66" s="6">
        <f>IF('DATOS Y RESPUESTAS'!C38="f",1,0)</f>
        <v>1</v>
      </c>
      <c r="D66" s="12">
        <v>50</v>
      </c>
      <c r="E66" s="12">
        <f>IF('DATOS Y RESPUESTAS'!E38="v",1,0)</f>
        <v>0</v>
      </c>
      <c r="F66" s="6">
        <f>IF('DATOS Y RESPUESTAS'!E38="f",1,0)</f>
        <v>1</v>
      </c>
      <c r="G66" s="6"/>
      <c r="H66" s="12">
        <v>75</v>
      </c>
      <c r="I66" s="12">
        <f>IF('DATOS Y RESPUESTAS'!G38="v",1,0)</f>
        <v>1</v>
      </c>
      <c r="J66" s="6">
        <f>IF('DATOS Y RESPUESTAS'!G38="f",1,0)</f>
        <v>0</v>
      </c>
      <c r="K66" s="12">
        <v>100</v>
      </c>
      <c r="L66" s="12">
        <f>IF('DATOS Y RESPUESTAS'!I38="v",1,0)</f>
        <v>0</v>
      </c>
      <c r="M66" s="6">
        <f>IF('DATOS Y RESPUESTAS'!I38="f",1,0)</f>
        <v>1</v>
      </c>
      <c r="N66" s="12">
        <v>125</v>
      </c>
      <c r="O66" s="12">
        <f>IF('DATOS Y RESPUESTAS'!K38="v",1,0)</f>
        <v>0</v>
      </c>
      <c r="P66" s="6">
        <f>IF('DATOS Y RESPUESTAS'!K38="f",1,0)</f>
        <v>1</v>
      </c>
      <c r="Q66" s="12">
        <v>150</v>
      </c>
      <c r="R66" s="12">
        <f>IF('DATOS Y RESPUESTAS'!M38="v",1,0)</f>
        <v>0</v>
      </c>
      <c r="S66" s="6">
        <f>IF('DATOS Y RESPUESTAS'!M38="f",1,0)</f>
        <v>1</v>
      </c>
      <c r="T66" s="6"/>
      <c r="U66" s="6"/>
      <c r="V66" s="12"/>
      <c r="W66" s="12"/>
      <c r="X66" s="12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12"/>
      <c r="BT66" s="12"/>
      <c r="BV66" s="4">
        <v>51</v>
      </c>
      <c r="BW66" s="4">
        <v>109</v>
      </c>
      <c r="BX66" s="4">
        <v>102</v>
      </c>
      <c r="BY66" s="4">
        <v>115</v>
      </c>
      <c r="BZ66" s="4">
        <v>63</v>
      </c>
      <c r="CA66" s="4">
        <v>93</v>
      </c>
      <c r="CB66" s="4">
        <v>113</v>
      </c>
      <c r="CC66" s="4">
        <v>102</v>
      </c>
      <c r="CD66" s="4">
        <v>115</v>
      </c>
      <c r="CE66" s="4">
        <v>66</v>
      </c>
      <c r="CF66" s="4">
        <v>111</v>
      </c>
      <c r="CG66" s="4">
        <v>89</v>
      </c>
      <c r="CH66" s="4">
        <v>115</v>
      </c>
      <c r="CI66" s="4">
        <v>115</v>
      </c>
      <c r="CJ66" s="4">
        <v>101</v>
      </c>
      <c r="CK66" s="4">
        <v>115</v>
      </c>
      <c r="CL66" s="4">
        <v>115</v>
      </c>
      <c r="CM66" s="4">
        <v>115</v>
      </c>
      <c r="CN66" s="4">
        <v>114</v>
      </c>
      <c r="CO66" s="4">
        <v>115</v>
      </c>
      <c r="CP66" s="4">
        <v>115</v>
      </c>
      <c r="CQ66" s="4">
        <v>115</v>
      </c>
      <c r="CR66" s="4">
        <v>114</v>
      </c>
      <c r="CS66" s="4">
        <v>115</v>
      </c>
      <c r="CT66" s="4">
        <v>115</v>
      </c>
      <c r="CU66" s="4">
        <v>113</v>
      </c>
      <c r="CV66" s="4">
        <v>112</v>
      </c>
      <c r="CW66" s="4">
        <v>115</v>
      </c>
      <c r="CX66" s="4">
        <v>100</v>
      </c>
      <c r="CY66" s="4">
        <v>100</v>
      </c>
      <c r="CZ66" s="4">
        <v>104</v>
      </c>
      <c r="DA66" s="4">
        <v>101</v>
      </c>
      <c r="DB66" s="4">
        <v>115</v>
      </c>
      <c r="DC66" s="4">
        <v>63</v>
      </c>
      <c r="DD66" s="4">
        <v>96</v>
      </c>
      <c r="DE66" s="4">
        <v>113</v>
      </c>
      <c r="DF66" s="4">
        <v>100</v>
      </c>
      <c r="DG66" s="4">
        <v>115</v>
      </c>
      <c r="DH66" s="4">
        <v>72</v>
      </c>
      <c r="DI66" s="4">
        <v>115</v>
      </c>
      <c r="DJ66" s="4">
        <v>86</v>
      </c>
      <c r="DK66" s="4">
        <v>115</v>
      </c>
      <c r="DL66" s="4">
        <v>115</v>
      </c>
      <c r="DM66" s="4">
        <v>94</v>
      </c>
      <c r="DN66" s="4">
        <v>115</v>
      </c>
      <c r="DO66" s="4">
        <v>113</v>
      </c>
      <c r="DP66" s="4">
        <v>115</v>
      </c>
      <c r="DQ66" s="4">
        <v>113</v>
      </c>
      <c r="DR66" s="4">
        <v>115</v>
      </c>
      <c r="DS66" s="4">
        <v>115</v>
      </c>
      <c r="DT66" s="4">
        <v>115</v>
      </c>
      <c r="DU66" s="4">
        <v>115</v>
      </c>
      <c r="DV66" s="4">
        <v>115</v>
      </c>
      <c r="DW66" s="4">
        <v>115</v>
      </c>
      <c r="DX66" s="4">
        <v>115</v>
      </c>
      <c r="DY66" s="4">
        <v>113</v>
      </c>
      <c r="DZ66" s="4">
        <v>115</v>
      </c>
      <c r="EA66" s="4">
        <v>100</v>
      </c>
      <c r="EB66" s="4">
        <v>100</v>
      </c>
      <c r="EC66" s="4">
        <v>107</v>
      </c>
      <c r="ED66" s="4">
        <v>90</v>
      </c>
      <c r="EE66" s="4">
        <v>115</v>
      </c>
      <c r="EF66" s="4">
        <v>47</v>
      </c>
      <c r="EG66" s="4">
        <v>107</v>
      </c>
      <c r="EH66" s="4">
        <v>114</v>
      </c>
      <c r="EI66" s="4">
        <v>104</v>
      </c>
      <c r="EJ66" s="4">
        <v>115</v>
      </c>
      <c r="EK66" s="4">
        <v>68</v>
      </c>
      <c r="EL66" s="4">
        <v>109</v>
      </c>
      <c r="EM66" s="4">
        <v>75</v>
      </c>
      <c r="EN66" s="4">
        <v>115</v>
      </c>
      <c r="EO66" s="4">
        <v>115</v>
      </c>
      <c r="EP66" s="4">
        <v>75</v>
      </c>
      <c r="EQ66" s="4">
        <v>115</v>
      </c>
      <c r="ER66" s="4">
        <v>112</v>
      </c>
      <c r="ES66" s="4">
        <v>115</v>
      </c>
      <c r="ET66" s="4">
        <v>114</v>
      </c>
      <c r="EU66" s="4">
        <v>115</v>
      </c>
      <c r="EV66" s="4">
        <v>115</v>
      </c>
      <c r="EW66" s="4">
        <v>115</v>
      </c>
      <c r="EX66" s="4">
        <v>112</v>
      </c>
      <c r="EY66" s="4">
        <v>115</v>
      </c>
      <c r="EZ66" s="4">
        <v>115</v>
      </c>
      <c r="FA66" s="4">
        <v>107</v>
      </c>
      <c r="FB66" s="4">
        <v>111</v>
      </c>
      <c r="FC66" s="4">
        <v>115</v>
      </c>
      <c r="FD66" s="4">
        <v>100</v>
      </c>
      <c r="FE66" s="4">
        <v>100</v>
      </c>
      <c r="FF66" s="4">
        <v>92</v>
      </c>
      <c r="FG66" s="4">
        <v>82</v>
      </c>
      <c r="FH66" s="4">
        <v>115</v>
      </c>
      <c r="FI66" s="4">
        <v>47</v>
      </c>
      <c r="FJ66" s="4">
        <v>109</v>
      </c>
      <c r="FK66" s="4">
        <v>113</v>
      </c>
      <c r="FL66" s="4">
        <v>108</v>
      </c>
      <c r="FM66" s="4">
        <v>115</v>
      </c>
      <c r="FN66" s="4">
        <v>74</v>
      </c>
      <c r="FO66" s="4">
        <v>112</v>
      </c>
      <c r="FP66" s="4">
        <v>72</v>
      </c>
      <c r="FQ66" s="4">
        <v>115</v>
      </c>
      <c r="FR66" s="4">
        <v>115</v>
      </c>
      <c r="FS66" s="4">
        <v>72</v>
      </c>
      <c r="FT66" s="4">
        <v>115</v>
      </c>
      <c r="FU66" s="4">
        <v>115</v>
      </c>
      <c r="FV66" s="4">
        <v>115</v>
      </c>
      <c r="FW66" s="4">
        <v>114</v>
      </c>
      <c r="FX66" s="4">
        <v>115</v>
      </c>
      <c r="FY66" s="4">
        <v>115</v>
      </c>
      <c r="FZ66" s="4">
        <v>115</v>
      </c>
      <c r="GA66" s="4">
        <v>114</v>
      </c>
      <c r="GB66" s="4">
        <v>115</v>
      </c>
      <c r="GC66" s="4">
        <v>115</v>
      </c>
      <c r="GD66" s="4">
        <v>111</v>
      </c>
      <c r="GE66" s="4">
        <v>106</v>
      </c>
      <c r="GF66" s="4">
        <v>115</v>
      </c>
      <c r="GG66" s="4">
        <v>100</v>
      </c>
      <c r="GH66" s="4">
        <v>100</v>
      </c>
      <c r="GJ66" s="4">
        <v>53</v>
      </c>
      <c r="GK66" s="4">
        <v>2</v>
      </c>
      <c r="GL66" s="4">
        <v>25</v>
      </c>
      <c r="GT66" s="4">
        <v>-70</v>
      </c>
      <c r="GU66" s="4">
        <v>-7</v>
      </c>
    </row>
    <row r="67" spans="1:255" x14ac:dyDescent="0.25">
      <c r="A67" s="13"/>
      <c r="B67" s="13"/>
      <c r="D67" s="13"/>
      <c r="E67" s="13"/>
      <c r="H67" s="13"/>
      <c r="I67" s="4" t="s">
        <v>47</v>
      </c>
      <c r="K67" s="13"/>
      <c r="L67" s="13"/>
      <c r="N67" s="13"/>
      <c r="O67" s="13"/>
      <c r="Q67" s="13"/>
      <c r="R67" s="13"/>
      <c r="V67" s="13"/>
      <c r="W67" s="13"/>
      <c r="X67" s="13"/>
      <c r="BS67" s="13"/>
      <c r="BT67" s="13"/>
    </row>
    <row r="68" spans="1:255" x14ac:dyDescent="0.25">
      <c r="I68" s="15" t="s">
        <v>48</v>
      </c>
      <c r="J68" s="4">
        <f>IF(N70&lt;200,1,0)</f>
        <v>0</v>
      </c>
      <c r="K68" s="4">
        <f>IF(N70&gt;590,1,0)</f>
        <v>0</v>
      </c>
      <c r="L68" s="4">
        <f>SUM(J68:K68)</f>
        <v>0</v>
      </c>
      <c r="BV68" s="4">
        <v>52</v>
      </c>
      <c r="BW68" s="4">
        <v>111</v>
      </c>
      <c r="BX68" s="4">
        <v>106</v>
      </c>
      <c r="BY68" s="4">
        <v>115</v>
      </c>
      <c r="BZ68" s="4">
        <v>65</v>
      </c>
      <c r="CA68" s="4">
        <v>102</v>
      </c>
      <c r="CB68" s="4">
        <v>114</v>
      </c>
      <c r="CC68" s="4">
        <v>102</v>
      </c>
      <c r="CD68" s="4">
        <v>115</v>
      </c>
      <c r="CE68" s="4">
        <v>69</v>
      </c>
      <c r="CF68" s="4">
        <v>111</v>
      </c>
      <c r="CG68" s="4">
        <v>91</v>
      </c>
      <c r="CH68" s="4">
        <v>115</v>
      </c>
      <c r="CI68" s="4">
        <v>115</v>
      </c>
      <c r="CJ68" s="4">
        <v>105</v>
      </c>
      <c r="CK68" s="4">
        <v>115</v>
      </c>
      <c r="CL68" s="4">
        <v>115</v>
      </c>
      <c r="CM68" s="4">
        <v>115</v>
      </c>
      <c r="CN68" s="4">
        <v>114</v>
      </c>
      <c r="CO68" s="4">
        <v>115</v>
      </c>
      <c r="CP68" s="4">
        <v>115</v>
      </c>
      <c r="CQ68" s="4">
        <v>115</v>
      </c>
      <c r="CR68" s="4">
        <v>114</v>
      </c>
      <c r="CS68" s="4">
        <v>115</v>
      </c>
      <c r="CT68" s="4">
        <v>115</v>
      </c>
      <c r="CU68" s="4">
        <v>114</v>
      </c>
      <c r="CV68" s="4">
        <v>113</v>
      </c>
      <c r="CW68" s="4">
        <v>115</v>
      </c>
      <c r="CX68" s="4">
        <v>100</v>
      </c>
      <c r="CY68" s="4">
        <v>100</v>
      </c>
      <c r="CZ68" s="4">
        <v>104</v>
      </c>
      <c r="DA68" s="4">
        <v>101</v>
      </c>
      <c r="DB68" s="4">
        <v>115</v>
      </c>
      <c r="DC68" s="4">
        <v>68</v>
      </c>
      <c r="DD68" s="4">
        <v>101</v>
      </c>
      <c r="DE68" s="4">
        <v>113</v>
      </c>
      <c r="DF68" s="4">
        <v>102</v>
      </c>
      <c r="DG68" s="4">
        <v>115</v>
      </c>
      <c r="DH68" s="4">
        <v>75</v>
      </c>
      <c r="DI68" s="4">
        <v>115</v>
      </c>
      <c r="DJ68" s="4">
        <v>87</v>
      </c>
      <c r="DK68" s="4">
        <v>115</v>
      </c>
      <c r="DL68" s="4">
        <v>115</v>
      </c>
      <c r="DM68" s="4">
        <v>94</v>
      </c>
      <c r="DN68" s="4">
        <v>115</v>
      </c>
      <c r="DO68" s="4">
        <v>115</v>
      </c>
      <c r="DP68" s="4">
        <v>115</v>
      </c>
      <c r="DQ68" s="4">
        <v>113</v>
      </c>
      <c r="DR68" s="4">
        <v>115</v>
      </c>
      <c r="DS68" s="4">
        <v>115</v>
      </c>
      <c r="DT68" s="4">
        <v>115</v>
      </c>
      <c r="DU68" s="4">
        <v>115</v>
      </c>
      <c r="DV68" s="4">
        <v>115</v>
      </c>
      <c r="DW68" s="4">
        <v>115</v>
      </c>
      <c r="DX68" s="4">
        <v>115</v>
      </c>
      <c r="DY68" s="4">
        <v>115</v>
      </c>
      <c r="DZ68" s="4">
        <v>115</v>
      </c>
      <c r="EA68" s="4">
        <v>100</v>
      </c>
      <c r="EB68" s="4">
        <v>100</v>
      </c>
      <c r="EC68" s="4">
        <v>108</v>
      </c>
      <c r="ED68" s="4">
        <v>94</v>
      </c>
      <c r="EE68" s="4">
        <v>115</v>
      </c>
      <c r="EF68" s="4">
        <v>50</v>
      </c>
      <c r="EG68" s="4">
        <v>108</v>
      </c>
      <c r="EH68" s="4">
        <v>114</v>
      </c>
      <c r="EI68" s="4">
        <v>105</v>
      </c>
      <c r="EJ68" s="4">
        <v>115</v>
      </c>
      <c r="EK68" s="4">
        <v>70</v>
      </c>
      <c r="EL68" s="4">
        <v>110</v>
      </c>
      <c r="EM68" s="4">
        <v>78</v>
      </c>
      <c r="EN68" s="4">
        <v>115</v>
      </c>
      <c r="EO68" s="4">
        <v>115</v>
      </c>
      <c r="EP68" s="4">
        <v>77</v>
      </c>
      <c r="EQ68" s="4">
        <v>115</v>
      </c>
      <c r="ER68" s="4">
        <v>114</v>
      </c>
      <c r="ES68" s="4">
        <v>115</v>
      </c>
      <c r="ET68" s="4">
        <v>114</v>
      </c>
      <c r="EU68" s="4">
        <v>115</v>
      </c>
      <c r="EV68" s="4">
        <v>115</v>
      </c>
      <c r="EW68" s="4">
        <v>115</v>
      </c>
      <c r="EX68" s="4">
        <v>112</v>
      </c>
      <c r="EY68" s="4">
        <v>115</v>
      </c>
      <c r="EZ68" s="4">
        <v>115</v>
      </c>
      <c r="FA68" s="4">
        <v>111</v>
      </c>
      <c r="FB68" s="4">
        <v>113</v>
      </c>
      <c r="FC68" s="4">
        <v>115</v>
      </c>
      <c r="FD68" s="4">
        <v>100</v>
      </c>
      <c r="FE68" s="4">
        <v>100</v>
      </c>
      <c r="FF68" s="4">
        <v>95</v>
      </c>
      <c r="FG68" s="4">
        <v>85</v>
      </c>
      <c r="FH68" s="4">
        <v>115</v>
      </c>
      <c r="FI68" s="4">
        <v>50</v>
      </c>
      <c r="FJ68" s="4">
        <v>110</v>
      </c>
      <c r="FK68" s="4">
        <v>113</v>
      </c>
      <c r="FL68" s="4">
        <v>111</v>
      </c>
      <c r="FM68" s="4">
        <v>115</v>
      </c>
      <c r="FN68" s="4">
        <v>75</v>
      </c>
      <c r="FO68" s="4">
        <v>112</v>
      </c>
      <c r="FP68" s="4">
        <v>73</v>
      </c>
      <c r="FQ68" s="4">
        <v>115</v>
      </c>
      <c r="FR68" s="4">
        <v>115</v>
      </c>
      <c r="FS68" s="4">
        <v>74</v>
      </c>
      <c r="FT68" s="4">
        <v>115</v>
      </c>
      <c r="FU68" s="4">
        <v>115</v>
      </c>
      <c r="FV68" s="4">
        <v>115</v>
      </c>
      <c r="FW68" s="4">
        <v>114</v>
      </c>
      <c r="FX68" s="4">
        <v>115</v>
      </c>
      <c r="FY68" s="4">
        <v>115</v>
      </c>
      <c r="FZ68" s="4">
        <v>115</v>
      </c>
      <c r="GA68" s="4">
        <v>114</v>
      </c>
      <c r="GB68" s="4">
        <v>115</v>
      </c>
      <c r="GC68" s="4">
        <v>115</v>
      </c>
      <c r="GD68" s="4">
        <v>113</v>
      </c>
      <c r="GE68" s="4">
        <v>112</v>
      </c>
      <c r="GF68" s="4">
        <v>115</v>
      </c>
      <c r="GG68" s="4">
        <v>100</v>
      </c>
      <c r="GH68" s="4">
        <v>100</v>
      </c>
      <c r="GJ68" s="4">
        <v>54</v>
      </c>
      <c r="GK68" s="4">
        <v>2</v>
      </c>
      <c r="GL68" s="4">
        <v>25</v>
      </c>
      <c r="GT68" s="4">
        <v>-69</v>
      </c>
      <c r="GU68" s="4">
        <v>-7</v>
      </c>
    </row>
    <row r="69" spans="1:255" s="11" customFormat="1" ht="10.199999999999999" x14ac:dyDescent="0.2">
      <c r="I69" s="16" t="s">
        <v>49</v>
      </c>
      <c r="J69" s="17"/>
      <c r="K69" s="18"/>
      <c r="L69" s="18"/>
      <c r="M69" s="19"/>
      <c r="N69" s="20" t="s">
        <v>50</v>
      </c>
      <c r="O69" s="21" t="s">
        <v>51</v>
      </c>
      <c r="P69" s="22"/>
      <c r="Q69" s="21" t="s">
        <v>52</v>
      </c>
      <c r="R69" s="21"/>
      <c r="S69" s="21"/>
      <c r="T69" s="21"/>
      <c r="U69" s="21"/>
      <c r="V69" s="21" t="s">
        <v>53</v>
      </c>
      <c r="W69" s="21"/>
      <c r="X69" s="21" t="s">
        <v>52</v>
      </c>
      <c r="Y69" s="21"/>
      <c r="Z69" s="21"/>
      <c r="AA69" s="21"/>
      <c r="AB69" s="21"/>
      <c r="AC69" s="21"/>
      <c r="AD69" s="21" t="s">
        <v>54</v>
      </c>
      <c r="AE69" s="21"/>
      <c r="AF69" s="21" t="s">
        <v>52</v>
      </c>
      <c r="AG69" s="21"/>
      <c r="AH69" s="21"/>
      <c r="AI69" s="21"/>
      <c r="AJ69" s="21"/>
      <c r="AK69" s="21"/>
      <c r="AL69" s="21" t="s">
        <v>55</v>
      </c>
      <c r="AM69" s="21"/>
      <c r="AN69" s="21"/>
      <c r="AO69" s="21" t="s">
        <v>52</v>
      </c>
      <c r="AP69" s="21"/>
      <c r="AQ69" s="21"/>
      <c r="AR69" s="21"/>
      <c r="AS69" s="21"/>
      <c r="AT69" s="21" t="s">
        <v>56</v>
      </c>
      <c r="AU69" s="21" t="s">
        <v>57</v>
      </c>
      <c r="AV69" s="51" t="s">
        <v>58</v>
      </c>
      <c r="BV69" s="11">
        <v>53</v>
      </c>
      <c r="BW69" s="11">
        <v>113</v>
      </c>
      <c r="BX69" s="11">
        <v>107</v>
      </c>
      <c r="BY69" s="11">
        <v>115</v>
      </c>
      <c r="BZ69" s="11">
        <v>68</v>
      </c>
      <c r="CA69" s="11">
        <v>105</v>
      </c>
      <c r="CB69" s="11">
        <v>114</v>
      </c>
      <c r="CC69" s="11">
        <v>102</v>
      </c>
      <c r="CD69" s="11">
        <v>115</v>
      </c>
      <c r="CE69" s="11">
        <v>72</v>
      </c>
      <c r="CF69" s="11">
        <v>112</v>
      </c>
      <c r="CG69" s="11">
        <v>93</v>
      </c>
      <c r="CH69" s="11">
        <v>115</v>
      </c>
      <c r="CI69" s="11">
        <v>115</v>
      </c>
      <c r="CJ69" s="11">
        <v>107</v>
      </c>
      <c r="CK69" s="11">
        <v>115</v>
      </c>
      <c r="CL69" s="11">
        <v>115</v>
      </c>
      <c r="CM69" s="11">
        <v>115</v>
      </c>
      <c r="CN69" s="11">
        <v>114</v>
      </c>
      <c r="CO69" s="11">
        <v>115</v>
      </c>
      <c r="CP69" s="11">
        <v>115</v>
      </c>
      <c r="CQ69" s="11">
        <v>115</v>
      </c>
      <c r="CR69" s="11">
        <v>114</v>
      </c>
      <c r="CS69" s="11">
        <v>115</v>
      </c>
      <c r="CT69" s="11">
        <v>115</v>
      </c>
      <c r="CU69" s="11">
        <v>114</v>
      </c>
      <c r="CV69" s="11">
        <v>115</v>
      </c>
      <c r="CW69" s="11">
        <v>115</v>
      </c>
      <c r="CX69" s="11">
        <v>100</v>
      </c>
      <c r="CY69" s="11">
        <v>100</v>
      </c>
      <c r="CZ69" s="11">
        <v>108</v>
      </c>
      <c r="DA69" s="11">
        <v>105</v>
      </c>
      <c r="DB69" s="11">
        <v>115</v>
      </c>
      <c r="DC69" s="11">
        <v>69</v>
      </c>
      <c r="DD69" s="11">
        <v>104</v>
      </c>
      <c r="DE69" s="11">
        <v>113</v>
      </c>
      <c r="DF69" s="11">
        <v>113</v>
      </c>
      <c r="DG69" s="11">
        <v>115</v>
      </c>
      <c r="DH69" s="11">
        <v>85</v>
      </c>
      <c r="DI69" s="11">
        <v>115</v>
      </c>
      <c r="DJ69" s="11">
        <v>90</v>
      </c>
      <c r="DK69" s="11">
        <v>115</v>
      </c>
      <c r="DL69" s="11">
        <v>115</v>
      </c>
      <c r="DM69" s="11">
        <v>94</v>
      </c>
      <c r="DN69" s="11">
        <v>115</v>
      </c>
      <c r="DO69" s="11">
        <v>115</v>
      </c>
      <c r="DP69" s="11">
        <v>115</v>
      </c>
      <c r="DQ69" s="11">
        <v>113</v>
      </c>
      <c r="DR69" s="11">
        <v>115</v>
      </c>
      <c r="DS69" s="11">
        <v>115</v>
      </c>
      <c r="DT69" s="11">
        <v>115</v>
      </c>
      <c r="DU69" s="11">
        <v>115</v>
      </c>
      <c r="DV69" s="11">
        <v>115</v>
      </c>
      <c r="DW69" s="11">
        <v>115</v>
      </c>
      <c r="DX69" s="11">
        <v>115</v>
      </c>
      <c r="DY69" s="11">
        <v>115</v>
      </c>
      <c r="DZ69" s="11">
        <v>115</v>
      </c>
      <c r="EA69" s="11">
        <v>100</v>
      </c>
      <c r="EB69" s="11">
        <v>100</v>
      </c>
      <c r="EC69" s="11">
        <v>109</v>
      </c>
      <c r="ED69" s="11">
        <v>97</v>
      </c>
      <c r="EE69" s="11">
        <v>115</v>
      </c>
      <c r="EF69" s="11">
        <v>53</v>
      </c>
      <c r="EG69" s="11">
        <v>109</v>
      </c>
      <c r="EH69" s="11">
        <v>114</v>
      </c>
      <c r="EI69" s="11">
        <v>107</v>
      </c>
      <c r="EJ69" s="11">
        <v>115</v>
      </c>
      <c r="EK69" s="11">
        <v>72</v>
      </c>
      <c r="EL69" s="11">
        <v>110</v>
      </c>
      <c r="EM69" s="11">
        <v>81</v>
      </c>
      <c r="EN69" s="11">
        <v>115</v>
      </c>
      <c r="EO69" s="11">
        <v>115</v>
      </c>
      <c r="EP69" s="11">
        <v>79</v>
      </c>
      <c r="EQ69" s="11">
        <v>115</v>
      </c>
      <c r="ER69" s="11">
        <v>115</v>
      </c>
      <c r="ES69" s="11">
        <v>115</v>
      </c>
      <c r="ET69" s="11">
        <v>114</v>
      </c>
      <c r="EU69" s="11">
        <v>115</v>
      </c>
      <c r="EV69" s="11">
        <v>115</v>
      </c>
      <c r="EW69" s="11">
        <v>115</v>
      </c>
      <c r="EX69" s="11">
        <v>112</v>
      </c>
      <c r="EY69" s="11">
        <v>115</v>
      </c>
      <c r="EZ69" s="11">
        <v>115</v>
      </c>
      <c r="FA69" s="11">
        <v>114</v>
      </c>
      <c r="FB69" s="11">
        <v>113</v>
      </c>
      <c r="FC69" s="11">
        <v>115</v>
      </c>
      <c r="FD69" s="11">
        <v>100</v>
      </c>
      <c r="FE69" s="11">
        <v>100</v>
      </c>
      <c r="FF69" s="11">
        <v>100</v>
      </c>
      <c r="FG69" s="11">
        <v>89</v>
      </c>
      <c r="FH69" s="11">
        <v>115</v>
      </c>
      <c r="FI69" s="11">
        <v>52</v>
      </c>
      <c r="FJ69" s="11">
        <v>111</v>
      </c>
      <c r="FK69" s="11">
        <v>115</v>
      </c>
      <c r="FL69" s="11">
        <v>111</v>
      </c>
      <c r="FM69" s="11">
        <v>115</v>
      </c>
      <c r="FN69" s="11">
        <v>78</v>
      </c>
      <c r="FO69" s="11">
        <v>112</v>
      </c>
      <c r="FP69" s="11">
        <v>74</v>
      </c>
      <c r="FQ69" s="11">
        <v>115</v>
      </c>
      <c r="FR69" s="11">
        <v>115</v>
      </c>
      <c r="FS69" s="11">
        <v>75</v>
      </c>
      <c r="FT69" s="11">
        <v>115</v>
      </c>
      <c r="FU69" s="11">
        <v>115</v>
      </c>
      <c r="FV69" s="11">
        <v>115</v>
      </c>
      <c r="FW69" s="11">
        <v>114</v>
      </c>
      <c r="FX69" s="11">
        <v>115</v>
      </c>
      <c r="FY69" s="11">
        <v>115</v>
      </c>
      <c r="FZ69" s="11">
        <v>115</v>
      </c>
      <c r="GA69" s="11">
        <v>114</v>
      </c>
      <c r="GB69" s="11">
        <v>115</v>
      </c>
      <c r="GC69" s="11">
        <v>115</v>
      </c>
      <c r="GD69" s="11">
        <v>114</v>
      </c>
      <c r="GE69" s="11">
        <v>113</v>
      </c>
      <c r="GF69" s="11">
        <v>115</v>
      </c>
      <c r="GG69" s="11">
        <v>100</v>
      </c>
      <c r="GH69" s="11">
        <v>100</v>
      </c>
      <c r="GJ69" s="11">
        <v>55</v>
      </c>
      <c r="GK69" s="11">
        <v>2</v>
      </c>
      <c r="GL69" s="11">
        <v>25</v>
      </c>
      <c r="GT69" s="11">
        <v>-68</v>
      </c>
      <c r="GU69" s="11">
        <v>-7</v>
      </c>
      <c r="HH69" s="65" t="str">
        <f>'DATOS Y RESPUESTAS'!A4</f>
        <v>Nombre:</v>
      </c>
      <c r="HI69" s="67" t="str">
        <f>'DATOS Y RESPUESTAS'!B4</f>
        <v xml:space="preserve">NICOLE AIXA </v>
      </c>
      <c r="HJ69" s="65"/>
      <c r="HK69" s="65"/>
    </row>
    <row r="70" spans="1:255" x14ac:dyDescent="0.25">
      <c r="A70" s="4" t="s">
        <v>59</v>
      </c>
      <c r="E70" s="4">
        <f>SUM(B43+B46+B50+B51+B64+B65+E66+I61+L52+L59+L62+O42+R46+R47+R61+R62+X50)</f>
        <v>8</v>
      </c>
      <c r="I70" s="23" t="s">
        <v>60</v>
      </c>
      <c r="J70" s="24"/>
      <c r="K70" s="25"/>
      <c r="L70" s="25"/>
      <c r="M70" s="25"/>
      <c r="N70" s="26">
        <f>SUM(N73*1.5+N74*1.5+N75*2+N76*0.7+N77*0.7+N78+N79+N80*3+N81*0.7+N82+N83)</f>
        <v>278</v>
      </c>
      <c r="O70" s="26">
        <f>LOOKUP(N70,GJ14:GK614)</f>
        <v>37</v>
      </c>
      <c r="P70" s="27"/>
      <c r="Q70" s="27"/>
      <c r="R70" s="26"/>
      <c r="S70" s="26"/>
      <c r="T70" s="26"/>
      <c r="U70" s="26"/>
      <c r="V70" s="45"/>
      <c r="W70" s="46"/>
      <c r="X70" s="45"/>
      <c r="Y70" s="46"/>
      <c r="Z70" s="46"/>
      <c r="AA70" s="46"/>
      <c r="AB70" s="46"/>
      <c r="AC70" s="46"/>
      <c r="AD70" s="45"/>
      <c r="AE70" s="46"/>
      <c r="AF70" s="45"/>
      <c r="AG70" s="46"/>
      <c r="AH70" s="46"/>
      <c r="AI70" s="46"/>
      <c r="AJ70" s="46"/>
      <c r="AK70" s="46"/>
      <c r="AL70" s="45"/>
      <c r="AM70" s="46"/>
      <c r="AN70" s="46"/>
      <c r="AO70" s="45"/>
      <c r="AP70" s="46"/>
      <c r="AQ70" s="46"/>
      <c r="AR70" s="46"/>
      <c r="AS70" s="46"/>
      <c r="AT70" s="45"/>
      <c r="AU70" s="52">
        <f>O70</f>
        <v>37</v>
      </c>
      <c r="AV70" s="53"/>
      <c r="BV70" s="4">
        <v>54</v>
      </c>
      <c r="BW70" s="4">
        <v>113</v>
      </c>
      <c r="BX70" s="4">
        <v>108</v>
      </c>
      <c r="BY70" s="4">
        <v>115</v>
      </c>
      <c r="BZ70" s="4">
        <v>70</v>
      </c>
      <c r="CA70" s="4">
        <v>107</v>
      </c>
      <c r="CB70" s="4">
        <v>115</v>
      </c>
      <c r="CC70" s="4">
        <v>102</v>
      </c>
      <c r="CD70" s="4">
        <v>115</v>
      </c>
      <c r="CE70" s="4">
        <v>73</v>
      </c>
      <c r="CF70" s="4">
        <v>114</v>
      </c>
      <c r="CG70" s="4">
        <v>100</v>
      </c>
      <c r="CH70" s="4">
        <v>115</v>
      </c>
      <c r="CI70" s="4">
        <v>115</v>
      </c>
      <c r="CJ70" s="4">
        <v>109</v>
      </c>
      <c r="CK70" s="4">
        <v>115</v>
      </c>
      <c r="CL70" s="4">
        <v>115</v>
      </c>
      <c r="CM70" s="4">
        <v>115</v>
      </c>
      <c r="CN70" s="4">
        <v>114</v>
      </c>
      <c r="CO70" s="4">
        <v>115</v>
      </c>
      <c r="CP70" s="4">
        <v>115</v>
      </c>
      <c r="CQ70" s="4">
        <v>115</v>
      </c>
      <c r="CR70" s="4">
        <v>115</v>
      </c>
      <c r="CS70" s="4">
        <v>115</v>
      </c>
      <c r="CT70" s="4">
        <v>115</v>
      </c>
      <c r="CU70" s="4">
        <v>115</v>
      </c>
      <c r="CV70" s="4">
        <v>115</v>
      </c>
      <c r="CW70" s="4">
        <v>115</v>
      </c>
      <c r="CX70" s="4">
        <v>100</v>
      </c>
      <c r="CY70" s="4">
        <v>100</v>
      </c>
      <c r="CZ70" s="4">
        <v>112</v>
      </c>
      <c r="DA70" s="4">
        <v>108</v>
      </c>
      <c r="DB70" s="4">
        <v>115</v>
      </c>
      <c r="DC70" s="4">
        <v>70</v>
      </c>
      <c r="DD70" s="4">
        <v>104</v>
      </c>
      <c r="DE70" s="4">
        <v>115</v>
      </c>
      <c r="DF70" s="4">
        <v>113</v>
      </c>
      <c r="DG70" s="4">
        <v>115</v>
      </c>
      <c r="DH70" s="4">
        <v>92</v>
      </c>
      <c r="DI70" s="4">
        <v>115</v>
      </c>
      <c r="DJ70" s="4">
        <v>93</v>
      </c>
      <c r="DK70" s="4">
        <v>115</v>
      </c>
      <c r="DL70" s="4">
        <v>115</v>
      </c>
      <c r="DM70" s="4">
        <v>99</v>
      </c>
      <c r="DN70" s="4">
        <v>115</v>
      </c>
      <c r="DO70" s="4">
        <v>115</v>
      </c>
      <c r="DP70" s="4">
        <v>115</v>
      </c>
      <c r="DQ70" s="4">
        <v>113</v>
      </c>
      <c r="DR70" s="4">
        <v>115</v>
      </c>
      <c r="DS70" s="4">
        <v>115</v>
      </c>
      <c r="DT70" s="4">
        <v>115</v>
      </c>
      <c r="DU70" s="4">
        <v>115</v>
      </c>
      <c r="DV70" s="4">
        <v>115</v>
      </c>
      <c r="DW70" s="4">
        <v>115</v>
      </c>
      <c r="DX70" s="4">
        <v>115</v>
      </c>
      <c r="DY70" s="4">
        <v>115</v>
      </c>
      <c r="DZ70" s="4">
        <v>115</v>
      </c>
      <c r="EA70" s="4">
        <v>100</v>
      </c>
      <c r="EB70" s="4">
        <v>100</v>
      </c>
      <c r="EC70" s="4">
        <v>111</v>
      </c>
      <c r="ED70" s="4">
        <v>102</v>
      </c>
      <c r="EE70" s="4">
        <v>115</v>
      </c>
      <c r="EF70" s="4">
        <v>57</v>
      </c>
      <c r="EG70" s="4">
        <v>111</v>
      </c>
      <c r="EH70" s="4">
        <v>114</v>
      </c>
      <c r="EI70" s="4">
        <v>107</v>
      </c>
      <c r="EJ70" s="4">
        <v>115</v>
      </c>
      <c r="EK70" s="4">
        <v>75</v>
      </c>
      <c r="EL70" s="4">
        <v>111</v>
      </c>
      <c r="EM70" s="4">
        <v>85</v>
      </c>
      <c r="EN70" s="4">
        <v>115</v>
      </c>
      <c r="EO70" s="4">
        <v>115</v>
      </c>
      <c r="EP70" s="4">
        <v>82</v>
      </c>
      <c r="EQ70" s="4">
        <v>115</v>
      </c>
      <c r="ER70" s="4">
        <v>115</v>
      </c>
      <c r="ES70" s="4">
        <v>115</v>
      </c>
      <c r="ET70" s="4">
        <v>114</v>
      </c>
      <c r="EU70" s="4">
        <v>115</v>
      </c>
      <c r="EV70" s="4">
        <v>115</v>
      </c>
      <c r="EW70" s="4">
        <v>115</v>
      </c>
      <c r="EX70" s="4">
        <v>114</v>
      </c>
      <c r="EY70" s="4">
        <v>115</v>
      </c>
      <c r="EZ70" s="4">
        <v>115</v>
      </c>
      <c r="FA70" s="4">
        <v>115</v>
      </c>
      <c r="FB70" s="4">
        <v>114</v>
      </c>
      <c r="FC70" s="4">
        <v>115</v>
      </c>
      <c r="FD70" s="4">
        <v>100</v>
      </c>
      <c r="FE70" s="4">
        <v>100</v>
      </c>
      <c r="FF70" s="4">
        <v>103</v>
      </c>
      <c r="FG70" s="4">
        <v>92</v>
      </c>
      <c r="FH70" s="4">
        <v>115</v>
      </c>
      <c r="FI70" s="4">
        <v>54</v>
      </c>
      <c r="FJ70" s="4">
        <v>111</v>
      </c>
      <c r="FK70" s="4">
        <v>115</v>
      </c>
      <c r="FL70" s="4">
        <v>112</v>
      </c>
      <c r="FM70" s="4">
        <v>115</v>
      </c>
      <c r="FN70" s="4">
        <v>82</v>
      </c>
      <c r="FO70" s="4">
        <v>112</v>
      </c>
      <c r="FP70" s="4">
        <v>75</v>
      </c>
      <c r="FQ70" s="4">
        <v>115</v>
      </c>
      <c r="FR70" s="4">
        <v>115</v>
      </c>
      <c r="FS70" s="4">
        <v>80</v>
      </c>
      <c r="FT70" s="4">
        <v>115</v>
      </c>
      <c r="FU70" s="4">
        <v>115</v>
      </c>
      <c r="FV70" s="4">
        <v>115</v>
      </c>
      <c r="FW70" s="4">
        <v>114</v>
      </c>
      <c r="FX70" s="4">
        <v>115</v>
      </c>
      <c r="FY70" s="4">
        <v>115</v>
      </c>
      <c r="FZ70" s="4">
        <v>115</v>
      </c>
      <c r="GA70" s="4">
        <v>115</v>
      </c>
      <c r="GB70" s="4">
        <v>115</v>
      </c>
      <c r="GC70" s="4">
        <v>115</v>
      </c>
      <c r="GD70" s="4">
        <v>115</v>
      </c>
      <c r="GE70" s="4">
        <v>114</v>
      </c>
      <c r="GF70" s="4">
        <v>115</v>
      </c>
      <c r="GG70" s="4">
        <v>100</v>
      </c>
      <c r="GH70" s="4">
        <v>100</v>
      </c>
      <c r="GJ70" s="4">
        <v>56</v>
      </c>
      <c r="GK70" s="4">
        <v>2</v>
      </c>
      <c r="GL70" s="4">
        <v>25</v>
      </c>
      <c r="GT70" s="4">
        <v>-67</v>
      </c>
      <c r="GU70" s="4">
        <v>-7</v>
      </c>
      <c r="HH70" s="65" t="str">
        <f>'DATOS Y RESPUESTAS'!A5</f>
        <v>Apellidos:</v>
      </c>
      <c r="HI70" s="67" t="str">
        <f>'DATOS Y RESPUESTAS'!B5</f>
        <v>CONTRERAS ZURITA</v>
      </c>
      <c r="HJ70" s="66"/>
      <c r="HK70" s="66"/>
      <c r="IT70" s="4">
        <v>0</v>
      </c>
      <c r="IU70" s="4" t="s">
        <v>61</v>
      </c>
    </row>
    <row r="71" spans="1:255" x14ac:dyDescent="0.25">
      <c r="A71" s="4" t="s">
        <v>62</v>
      </c>
      <c r="E71" s="4">
        <f>SUM(B66+E50+E59+I54+I62+L45+L46+L50+O47+O53+R49+R56+R57+R63+X44+X45)</f>
        <v>2</v>
      </c>
      <c r="I71" s="28" t="s">
        <v>63</v>
      </c>
      <c r="J71" s="29"/>
      <c r="K71" s="6"/>
      <c r="L71" s="6"/>
      <c r="M71" s="6"/>
      <c r="N71" s="2">
        <f t="shared" ref="N71:N99" si="0">SUM(E70:H70)</f>
        <v>8</v>
      </c>
      <c r="O71" s="2">
        <f>LOOKUP(O104,FE109:FE112,GG109:GG112)</f>
        <v>41</v>
      </c>
      <c r="Q71" s="2"/>
      <c r="R71" s="2"/>
      <c r="S71" s="2"/>
      <c r="T71" s="2"/>
      <c r="U71" s="2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54">
        <f>O71</f>
        <v>41</v>
      </c>
      <c r="AV71" s="55"/>
      <c r="BV71" s="4">
        <v>55</v>
      </c>
      <c r="BW71" s="4">
        <v>114</v>
      </c>
      <c r="BX71" s="4">
        <v>108</v>
      </c>
      <c r="BY71" s="4">
        <v>115</v>
      </c>
      <c r="BZ71" s="4">
        <v>73</v>
      </c>
      <c r="CA71" s="4">
        <v>108</v>
      </c>
      <c r="CB71" s="4">
        <v>115</v>
      </c>
      <c r="CC71" s="4">
        <v>103</v>
      </c>
      <c r="CD71" s="4">
        <v>115</v>
      </c>
      <c r="CE71" s="4">
        <v>75</v>
      </c>
      <c r="CF71" s="4">
        <v>114</v>
      </c>
      <c r="CG71" s="4">
        <v>100</v>
      </c>
      <c r="CH71" s="4">
        <v>115</v>
      </c>
      <c r="CI71" s="4">
        <v>115</v>
      </c>
      <c r="CJ71" s="4">
        <v>109</v>
      </c>
      <c r="CK71" s="4">
        <v>115</v>
      </c>
      <c r="CL71" s="4">
        <v>115</v>
      </c>
      <c r="CM71" s="4">
        <v>115</v>
      </c>
      <c r="CN71" s="4">
        <v>114</v>
      </c>
      <c r="CO71" s="4">
        <v>115</v>
      </c>
      <c r="CP71" s="4">
        <v>115</v>
      </c>
      <c r="CQ71" s="4">
        <v>115</v>
      </c>
      <c r="CR71" s="4">
        <v>115</v>
      </c>
      <c r="CS71" s="4">
        <v>115</v>
      </c>
      <c r="CT71" s="4">
        <v>115</v>
      </c>
      <c r="CU71" s="4">
        <v>115</v>
      </c>
      <c r="CV71" s="4">
        <v>115</v>
      </c>
      <c r="CW71" s="4">
        <v>115</v>
      </c>
      <c r="CX71" s="4">
        <v>100</v>
      </c>
      <c r="CY71" s="4">
        <v>100</v>
      </c>
      <c r="CZ71" s="4">
        <v>115</v>
      </c>
      <c r="DA71" s="4">
        <v>108</v>
      </c>
      <c r="DB71" s="4">
        <v>115</v>
      </c>
      <c r="DC71" s="4">
        <v>73</v>
      </c>
      <c r="DD71" s="4">
        <v>107</v>
      </c>
      <c r="DE71" s="4">
        <v>115</v>
      </c>
      <c r="DF71" s="4">
        <v>113</v>
      </c>
      <c r="DG71" s="4">
        <v>115</v>
      </c>
      <c r="DH71" s="4">
        <v>99</v>
      </c>
      <c r="DI71" s="4">
        <v>115</v>
      </c>
      <c r="DJ71" s="4">
        <v>98</v>
      </c>
      <c r="DK71" s="4">
        <v>115</v>
      </c>
      <c r="DL71" s="4">
        <v>115</v>
      </c>
      <c r="DM71" s="4">
        <v>99</v>
      </c>
      <c r="DN71" s="4">
        <v>115</v>
      </c>
      <c r="DO71" s="4">
        <v>115</v>
      </c>
      <c r="DP71" s="4">
        <v>115</v>
      </c>
      <c r="DQ71" s="4">
        <v>113</v>
      </c>
      <c r="DR71" s="4">
        <v>115</v>
      </c>
      <c r="DS71" s="4">
        <v>115</v>
      </c>
      <c r="DT71" s="4">
        <v>115</v>
      </c>
      <c r="DU71" s="4">
        <v>115</v>
      </c>
      <c r="DV71" s="4">
        <v>115</v>
      </c>
      <c r="DW71" s="4">
        <v>115</v>
      </c>
      <c r="DX71" s="4">
        <v>115</v>
      </c>
      <c r="DY71" s="4">
        <v>115</v>
      </c>
      <c r="DZ71" s="4">
        <v>115</v>
      </c>
      <c r="EA71" s="4">
        <v>100</v>
      </c>
      <c r="EB71" s="4">
        <v>100</v>
      </c>
      <c r="EC71" s="4">
        <v>111</v>
      </c>
      <c r="ED71" s="4">
        <v>105</v>
      </c>
      <c r="EE71" s="4">
        <v>115</v>
      </c>
      <c r="EF71" s="4">
        <v>59</v>
      </c>
      <c r="EG71" s="4">
        <v>113</v>
      </c>
      <c r="EH71" s="4">
        <v>115</v>
      </c>
      <c r="EI71" s="4">
        <v>108</v>
      </c>
      <c r="EJ71" s="4">
        <v>115</v>
      </c>
      <c r="EK71" s="4">
        <v>80</v>
      </c>
      <c r="EL71" s="4">
        <v>112</v>
      </c>
      <c r="EM71" s="4">
        <v>87</v>
      </c>
      <c r="EN71" s="4">
        <v>115</v>
      </c>
      <c r="EO71" s="4">
        <v>115</v>
      </c>
      <c r="EP71" s="4">
        <v>85</v>
      </c>
      <c r="EQ71" s="4">
        <v>115</v>
      </c>
      <c r="ER71" s="4">
        <v>115</v>
      </c>
      <c r="ES71" s="4">
        <v>115</v>
      </c>
      <c r="ET71" s="4">
        <v>114</v>
      </c>
      <c r="EU71" s="4">
        <v>115</v>
      </c>
      <c r="EV71" s="4">
        <v>115</v>
      </c>
      <c r="EW71" s="4">
        <v>115</v>
      </c>
      <c r="EX71" s="4">
        <v>114</v>
      </c>
      <c r="EY71" s="4">
        <v>115</v>
      </c>
      <c r="EZ71" s="4">
        <v>115</v>
      </c>
      <c r="FA71" s="4">
        <v>115</v>
      </c>
      <c r="FB71" s="4">
        <v>115</v>
      </c>
      <c r="FC71" s="4">
        <v>115</v>
      </c>
      <c r="FD71" s="4">
        <v>100</v>
      </c>
      <c r="FE71" s="4">
        <v>100</v>
      </c>
      <c r="FF71" s="4">
        <v>105</v>
      </c>
      <c r="FG71" s="4">
        <v>96</v>
      </c>
      <c r="FH71" s="4">
        <v>115</v>
      </c>
      <c r="FI71" s="4">
        <v>56</v>
      </c>
      <c r="FJ71" s="4">
        <v>112</v>
      </c>
      <c r="FK71" s="4">
        <v>115</v>
      </c>
      <c r="FL71" s="4">
        <v>112</v>
      </c>
      <c r="FM71" s="4">
        <v>115</v>
      </c>
      <c r="FN71" s="4">
        <v>85</v>
      </c>
      <c r="FO71" s="4">
        <v>112</v>
      </c>
      <c r="FP71" s="4">
        <v>78</v>
      </c>
      <c r="FQ71" s="4">
        <v>115</v>
      </c>
      <c r="FR71" s="4">
        <v>115</v>
      </c>
      <c r="FS71" s="4">
        <v>84</v>
      </c>
      <c r="FT71" s="4">
        <v>115</v>
      </c>
      <c r="FU71" s="4">
        <v>115</v>
      </c>
      <c r="FV71" s="4">
        <v>115</v>
      </c>
      <c r="FW71" s="4">
        <v>114</v>
      </c>
      <c r="FX71" s="4">
        <v>115</v>
      </c>
      <c r="FY71" s="4">
        <v>115</v>
      </c>
      <c r="FZ71" s="4">
        <v>115</v>
      </c>
      <c r="GA71" s="4">
        <v>115</v>
      </c>
      <c r="GB71" s="4">
        <v>115</v>
      </c>
      <c r="GC71" s="4">
        <v>115</v>
      </c>
      <c r="GD71" s="4">
        <v>115</v>
      </c>
      <c r="GE71" s="4">
        <v>114</v>
      </c>
      <c r="GF71" s="4">
        <v>115</v>
      </c>
      <c r="GG71" s="4">
        <v>100</v>
      </c>
      <c r="GH71" s="4">
        <v>100</v>
      </c>
      <c r="GJ71" s="4">
        <v>57</v>
      </c>
      <c r="GK71" s="4">
        <v>2</v>
      </c>
      <c r="GL71" s="4">
        <v>25</v>
      </c>
      <c r="GM71" s="4" t="s">
        <v>64</v>
      </c>
      <c r="GN71" s="4">
        <f>IF(Q97&gt;84,1,0)</f>
        <v>0</v>
      </c>
      <c r="GT71" s="4">
        <v>-66</v>
      </c>
      <c r="GU71" s="4">
        <v>-7</v>
      </c>
      <c r="HH71" s="65" t="str">
        <f>'DATOS Y RESPUESTAS'!A6</f>
        <v>Sexo:</v>
      </c>
      <c r="HI71" s="67" t="str">
        <f>'DATOS Y RESPUESTAS'!B6</f>
        <v>FEMENINO</v>
      </c>
      <c r="HJ71" s="66"/>
      <c r="HK71" s="66"/>
      <c r="IT71" s="4">
        <v>1</v>
      </c>
      <c r="IU71" s="4" t="s">
        <v>61</v>
      </c>
    </row>
    <row r="72" spans="1:255" x14ac:dyDescent="0.25">
      <c r="A72" s="4" t="s">
        <v>65</v>
      </c>
      <c r="E72" s="4">
        <f>SUM(B42+2*C43+3*B44+B53*3+B54+B56*3+C65+E48*2+E50+E51+E52*3+E54*2+E55+E63*2+F66+J47+J50*2+I52*3+I60+J61*2+M43*2+L46*2+L51*3+M52+L57*2+L65+L66*3)</f>
        <v>10</v>
      </c>
      <c r="F72" s="4">
        <f>SUM(O43*2+P52+O56+O57+O59*2+O60*2+R48*2+R52+R57*2+R58+S59+S61*2+S62+R63+Y43+X45*2)</f>
        <v>8</v>
      </c>
      <c r="I72" s="30" t="s">
        <v>66</v>
      </c>
      <c r="J72" s="31"/>
      <c r="K72" s="32"/>
      <c r="L72" s="32"/>
      <c r="M72" s="32"/>
      <c r="N72" s="33">
        <f t="shared" si="0"/>
        <v>2</v>
      </c>
      <c r="O72" s="33">
        <f>LOOKUP(O104,FE109:FE112,GH109:GH112)</f>
        <v>34</v>
      </c>
      <c r="Q72" s="33"/>
      <c r="R72" s="33"/>
      <c r="S72" s="33"/>
      <c r="T72" s="33"/>
      <c r="U72" s="33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54">
        <f>O72</f>
        <v>34</v>
      </c>
      <c r="AV72" s="55"/>
      <c r="BV72" s="4">
        <v>56</v>
      </c>
      <c r="BW72" s="4">
        <v>114</v>
      </c>
      <c r="BX72" s="4">
        <v>110</v>
      </c>
      <c r="BY72" s="4">
        <v>115</v>
      </c>
      <c r="BZ72" s="4">
        <v>75</v>
      </c>
      <c r="CA72" s="4">
        <v>110</v>
      </c>
      <c r="CB72" s="4">
        <v>115</v>
      </c>
      <c r="CC72" s="4">
        <v>105</v>
      </c>
      <c r="CD72" s="4">
        <v>115</v>
      </c>
      <c r="CE72" s="4">
        <v>81</v>
      </c>
      <c r="CF72" s="4">
        <v>114</v>
      </c>
      <c r="CG72" s="4">
        <v>102</v>
      </c>
      <c r="CH72" s="4">
        <v>115</v>
      </c>
      <c r="CI72" s="4">
        <v>115</v>
      </c>
      <c r="CJ72" s="4">
        <v>110</v>
      </c>
      <c r="CK72" s="4">
        <v>115</v>
      </c>
      <c r="CL72" s="4">
        <v>115</v>
      </c>
      <c r="CM72" s="4">
        <v>115</v>
      </c>
      <c r="CN72" s="4">
        <v>115</v>
      </c>
      <c r="CO72" s="4">
        <v>115</v>
      </c>
      <c r="CP72" s="4">
        <v>115</v>
      </c>
      <c r="CQ72" s="4">
        <v>115</v>
      </c>
      <c r="CR72" s="4">
        <v>115</v>
      </c>
      <c r="CS72" s="4">
        <v>115</v>
      </c>
      <c r="CT72" s="4">
        <v>115</v>
      </c>
      <c r="CU72" s="4">
        <v>115</v>
      </c>
      <c r="CV72" s="4">
        <v>115</v>
      </c>
      <c r="CW72" s="4">
        <v>115</v>
      </c>
      <c r="CX72" s="4">
        <v>100</v>
      </c>
      <c r="CY72" s="4">
        <v>100</v>
      </c>
      <c r="CZ72" s="4">
        <v>115</v>
      </c>
      <c r="DA72" s="4">
        <v>112</v>
      </c>
      <c r="DB72" s="4">
        <v>115</v>
      </c>
      <c r="DC72" s="4">
        <v>75</v>
      </c>
      <c r="DD72" s="4">
        <v>113</v>
      </c>
      <c r="DE72" s="4">
        <v>115</v>
      </c>
      <c r="DF72" s="4">
        <v>113</v>
      </c>
      <c r="DG72" s="4">
        <v>115</v>
      </c>
      <c r="DH72" s="4">
        <v>99</v>
      </c>
      <c r="DI72" s="4">
        <v>115</v>
      </c>
      <c r="DJ72" s="4">
        <v>104</v>
      </c>
      <c r="DK72" s="4">
        <v>115</v>
      </c>
      <c r="DL72" s="4">
        <v>115</v>
      </c>
      <c r="DM72" s="4">
        <v>105</v>
      </c>
      <c r="DN72" s="4">
        <v>115</v>
      </c>
      <c r="DO72" s="4">
        <v>115</v>
      </c>
      <c r="DP72" s="4">
        <v>115</v>
      </c>
      <c r="DQ72" s="4">
        <v>113</v>
      </c>
      <c r="DR72" s="4">
        <v>115</v>
      </c>
      <c r="DS72" s="4">
        <v>115</v>
      </c>
      <c r="DT72" s="4">
        <v>115</v>
      </c>
      <c r="DU72" s="4">
        <v>115</v>
      </c>
      <c r="DV72" s="4">
        <v>115</v>
      </c>
      <c r="DW72" s="4">
        <v>115</v>
      </c>
      <c r="DX72" s="4">
        <v>115</v>
      </c>
      <c r="DY72" s="4">
        <v>115</v>
      </c>
      <c r="DZ72" s="4">
        <v>115</v>
      </c>
      <c r="EA72" s="4">
        <v>100</v>
      </c>
      <c r="EB72" s="4">
        <v>100</v>
      </c>
      <c r="EC72" s="4">
        <v>113</v>
      </c>
      <c r="ED72" s="4">
        <v>109</v>
      </c>
      <c r="EE72" s="4">
        <v>115</v>
      </c>
      <c r="EF72" s="4">
        <v>62</v>
      </c>
      <c r="EG72" s="4">
        <v>113</v>
      </c>
      <c r="EH72" s="4">
        <v>115</v>
      </c>
      <c r="EI72" s="4">
        <v>111</v>
      </c>
      <c r="EJ72" s="4">
        <v>115</v>
      </c>
      <c r="EK72" s="4">
        <v>83</v>
      </c>
      <c r="EL72" s="4">
        <v>112</v>
      </c>
      <c r="EM72" s="4">
        <v>82</v>
      </c>
      <c r="EN72" s="4">
        <v>115</v>
      </c>
      <c r="EO72" s="4">
        <v>115</v>
      </c>
      <c r="EP72" s="4">
        <v>93</v>
      </c>
      <c r="EQ72" s="4">
        <v>115</v>
      </c>
      <c r="ER72" s="4">
        <v>115</v>
      </c>
      <c r="ES72" s="4">
        <v>115</v>
      </c>
      <c r="ET72" s="4">
        <v>115</v>
      </c>
      <c r="EU72" s="4">
        <v>115</v>
      </c>
      <c r="EV72" s="4">
        <v>115</v>
      </c>
      <c r="EW72" s="4">
        <v>115</v>
      </c>
      <c r="EX72" s="4">
        <v>115</v>
      </c>
      <c r="EY72" s="4">
        <v>115</v>
      </c>
      <c r="EZ72" s="4">
        <v>115</v>
      </c>
      <c r="FA72" s="4">
        <v>115</v>
      </c>
      <c r="FB72" s="4">
        <v>115</v>
      </c>
      <c r="FC72" s="4">
        <v>115</v>
      </c>
      <c r="FD72" s="4">
        <v>100</v>
      </c>
      <c r="FE72" s="4">
        <v>100</v>
      </c>
      <c r="FF72" s="4">
        <v>107</v>
      </c>
      <c r="FG72" s="4">
        <v>100</v>
      </c>
      <c r="FH72" s="4">
        <v>115</v>
      </c>
      <c r="FI72" s="4">
        <v>58</v>
      </c>
      <c r="FJ72" s="4">
        <v>114</v>
      </c>
      <c r="FK72" s="4">
        <v>115</v>
      </c>
      <c r="FL72" s="4">
        <v>114</v>
      </c>
      <c r="FM72" s="4">
        <v>115</v>
      </c>
      <c r="FN72" s="4">
        <v>92</v>
      </c>
      <c r="FO72" s="4">
        <v>114</v>
      </c>
      <c r="FP72" s="4">
        <v>81</v>
      </c>
      <c r="FQ72" s="4">
        <v>115</v>
      </c>
      <c r="FR72" s="4">
        <v>115</v>
      </c>
      <c r="FS72" s="4">
        <v>85</v>
      </c>
      <c r="FT72" s="4">
        <v>115</v>
      </c>
      <c r="FU72" s="4">
        <v>115</v>
      </c>
      <c r="FV72" s="4">
        <v>115</v>
      </c>
      <c r="FW72" s="4">
        <v>115</v>
      </c>
      <c r="FX72" s="4">
        <v>115</v>
      </c>
      <c r="FY72" s="4">
        <v>115</v>
      </c>
      <c r="FZ72" s="4">
        <v>115</v>
      </c>
      <c r="GA72" s="4">
        <v>115</v>
      </c>
      <c r="GB72" s="4">
        <v>115</v>
      </c>
      <c r="GC72" s="4">
        <v>115</v>
      </c>
      <c r="GD72" s="4">
        <v>115</v>
      </c>
      <c r="GE72" s="4">
        <v>115</v>
      </c>
      <c r="GF72" s="4">
        <v>115</v>
      </c>
      <c r="GG72" s="4">
        <v>100</v>
      </c>
      <c r="GH72" s="4">
        <v>100</v>
      </c>
      <c r="GJ72" s="4">
        <v>58</v>
      </c>
      <c r="GK72" s="4">
        <v>2</v>
      </c>
      <c r="GL72" s="4">
        <v>25</v>
      </c>
      <c r="GM72" s="4" t="s">
        <v>67</v>
      </c>
      <c r="GN72" s="4">
        <f>IF(Q98&gt;84,1,0)</f>
        <v>0</v>
      </c>
      <c r="GO72" s="4">
        <f>SUM(GN71:GN72)</f>
        <v>0</v>
      </c>
      <c r="GT72" s="4">
        <v>-65</v>
      </c>
      <c r="GU72" s="4">
        <v>-7</v>
      </c>
      <c r="HH72" s="65" t="str">
        <f>'DATOS Y RESPUESTAS'!A7</f>
        <v>Edad:</v>
      </c>
      <c r="HI72" s="67">
        <f>'DATOS Y RESPUESTAS'!B7</f>
        <v>10</v>
      </c>
      <c r="HJ72" s="66"/>
      <c r="HK72" s="66"/>
      <c r="IT72" s="4">
        <v>2</v>
      </c>
      <c r="IU72" s="4" t="s">
        <v>61</v>
      </c>
    </row>
    <row r="73" spans="1:255" x14ac:dyDescent="0.25">
      <c r="A73" s="4" t="s">
        <v>68</v>
      </c>
      <c r="E73" s="4">
        <f>SUM(C51*2+B54+C59+C65*2+E42+E47*2+E48*2+E51*2+E52*2+E54*3+I42+J50*2+J53+I55*2+J59+I60*2+J61*2+I62*3+M43+L46*2+L50*2+L51+L53*3+L65*3+L66+R56*2+R58*3+S59*2+S65*2+X44*2+X47)</f>
        <v>15</v>
      </c>
      <c r="I73" s="28" t="s">
        <v>69</v>
      </c>
      <c r="J73" s="29"/>
      <c r="K73" s="6"/>
      <c r="L73" s="6"/>
      <c r="M73" s="6"/>
      <c r="N73" s="2">
        <f t="shared" si="0"/>
        <v>18</v>
      </c>
      <c r="O73" s="2">
        <f>LOOKUP(O104,FE109:FE112,FF109:FF112)</f>
        <v>26</v>
      </c>
      <c r="P73" s="6"/>
      <c r="Q73" s="2">
        <f>O73+Q102</f>
        <v>26</v>
      </c>
      <c r="R73" s="2"/>
      <c r="S73" s="2">
        <f>IF(Q73&lt;1,1,0)</f>
        <v>0</v>
      </c>
      <c r="T73" s="2">
        <f>SUM(S73+U73)</f>
        <v>0</v>
      </c>
      <c r="U73" s="2">
        <f>IF(Q73&gt;115,2,0)</f>
        <v>0</v>
      </c>
      <c r="V73" s="2">
        <f t="shared" ref="V73:V78" si="1">IF((Q73&lt;116)*AND(Q73&gt;-1),Q73,BT87)</f>
        <v>26</v>
      </c>
      <c r="W73" s="2"/>
      <c r="X73" s="2">
        <f>V73</f>
        <v>26</v>
      </c>
      <c r="Y73" s="2"/>
      <c r="Z73" s="2"/>
      <c r="AA73" s="2"/>
      <c r="AB73" s="2"/>
      <c r="AC73" s="2"/>
      <c r="AD73" s="2">
        <f>V73</f>
        <v>26</v>
      </c>
      <c r="AE73" s="2"/>
      <c r="AF73" s="2"/>
      <c r="AG73" s="2"/>
      <c r="AH73" s="2"/>
      <c r="AI73" s="2"/>
      <c r="AJ73" s="2"/>
      <c r="AK73" s="2"/>
      <c r="AL73" s="47"/>
      <c r="AM73" s="47"/>
      <c r="AN73" s="47"/>
      <c r="AO73" s="47"/>
      <c r="AP73" s="47"/>
      <c r="AQ73" s="47"/>
      <c r="AR73" s="47"/>
      <c r="AS73" s="47"/>
      <c r="AT73" s="47"/>
      <c r="AU73" s="54">
        <f>AD73</f>
        <v>26</v>
      </c>
      <c r="AV73" s="56" t="str">
        <f>LOOKUP(AU73,IT70:IU185)</f>
        <v>Indicador nulo</v>
      </c>
      <c r="BV73" s="4">
        <v>57</v>
      </c>
      <c r="BW73" s="4">
        <v>114</v>
      </c>
      <c r="BX73" s="4">
        <v>113</v>
      </c>
      <c r="BY73" s="4">
        <v>115</v>
      </c>
      <c r="BZ73" s="4">
        <v>81</v>
      </c>
      <c r="CA73" s="4">
        <v>113</v>
      </c>
      <c r="CB73" s="4">
        <v>115</v>
      </c>
      <c r="CC73" s="4">
        <v>107</v>
      </c>
      <c r="CD73" s="4">
        <v>115</v>
      </c>
      <c r="CE73" s="4">
        <v>85</v>
      </c>
      <c r="CF73" s="4">
        <v>114</v>
      </c>
      <c r="CG73" s="4">
        <v>104</v>
      </c>
      <c r="CH73" s="4">
        <v>115</v>
      </c>
      <c r="CI73" s="4">
        <v>115</v>
      </c>
      <c r="CJ73" s="4">
        <v>110</v>
      </c>
      <c r="CK73" s="4">
        <v>115</v>
      </c>
      <c r="CL73" s="4">
        <v>115</v>
      </c>
      <c r="CM73" s="4">
        <v>115</v>
      </c>
      <c r="CN73" s="4">
        <v>115</v>
      </c>
      <c r="CO73" s="4">
        <v>115</v>
      </c>
      <c r="CP73" s="4">
        <v>115</v>
      </c>
      <c r="CQ73" s="4">
        <v>115</v>
      </c>
      <c r="CR73" s="4">
        <v>115</v>
      </c>
      <c r="CS73" s="4">
        <v>115</v>
      </c>
      <c r="CT73" s="4">
        <v>115</v>
      </c>
      <c r="CU73" s="4">
        <v>115</v>
      </c>
      <c r="CV73" s="4">
        <v>115</v>
      </c>
      <c r="CW73" s="4">
        <v>115</v>
      </c>
      <c r="CX73" s="4">
        <v>100</v>
      </c>
      <c r="CY73" s="4">
        <v>100</v>
      </c>
      <c r="CZ73" s="4">
        <v>115</v>
      </c>
      <c r="DA73" s="4">
        <v>112</v>
      </c>
      <c r="DB73" s="4">
        <v>115</v>
      </c>
      <c r="DC73" s="4">
        <v>77</v>
      </c>
      <c r="DD73" s="4">
        <v>113</v>
      </c>
      <c r="DE73" s="4">
        <v>115</v>
      </c>
      <c r="DF73" s="4">
        <v>113</v>
      </c>
      <c r="DG73" s="4">
        <v>115</v>
      </c>
      <c r="DH73" s="4">
        <v>101</v>
      </c>
      <c r="DI73" s="4">
        <v>115</v>
      </c>
      <c r="DJ73" s="4">
        <v>106</v>
      </c>
      <c r="DK73" s="4">
        <v>115</v>
      </c>
      <c r="DL73" s="4">
        <v>115</v>
      </c>
      <c r="DM73" s="4">
        <v>105</v>
      </c>
      <c r="DN73" s="4">
        <v>115</v>
      </c>
      <c r="DO73" s="4">
        <v>115</v>
      </c>
      <c r="DP73" s="4">
        <v>115</v>
      </c>
      <c r="DQ73" s="4">
        <v>115</v>
      </c>
      <c r="DR73" s="4">
        <v>115</v>
      </c>
      <c r="DS73" s="4">
        <v>115</v>
      </c>
      <c r="DT73" s="4">
        <v>115</v>
      </c>
      <c r="DU73" s="4">
        <v>115</v>
      </c>
      <c r="DV73" s="4">
        <v>115</v>
      </c>
      <c r="DW73" s="4">
        <v>115</v>
      </c>
      <c r="DX73" s="4">
        <v>115</v>
      </c>
      <c r="DY73" s="4">
        <v>115</v>
      </c>
      <c r="DZ73" s="4">
        <v>115</v>
      </c>
      <c r="EA73" s="4">
        <v>100</v>
      </c>
      <c r="EB73" s="4">
        <v>100</v>
      </c>
      <c r="EC73" s="4">
        <v>114</v>
      </c>
      <c r="ED73" s="4">
        <v>110</v>
      </c>
      <c r="EE73" s="4">
        <v>115</v>
      </c>
      <c r="EF73" s="4">
        <v>65</v>
      </c>
      <c r="EG73" s="4">
        <v>114</v>
      </c>
      <c r="EH73" s="4">
        <v>115</v>
      </c>
      <c r="EI73" s="4">
        <v>112</v>
      </c>
      <c r="EJ73" s="4">
        <v>115</v>
      </c>
      <c r="EK73" s="4">
        <v>85</v>
      </c>
      <c r="EL73" s="4">
        <v>112</v>
      </c>
      <c r="EM73" s="4">
        <v>87</v>
      </c>
      <c r="EN73" s="4">
        <v>115</v>
      </c>
      <c r="EO73" s="4">
        <v>115</v>
      </c>
      <c r="EP73" s="4">
        <v>99</v>
      </c>
      <c r="EQ73" s="4">
        <v>115</v>
      </c>
      <c r="ER73" s="4">
        <v>115</v>
      </c>
      <c r="ES73" s="4">
        <v>115</v>
      </c>
      <c r="ET73" s="4">
        <v>115</v>
      </c>
      <c r="EU73" s="4">
        <v>115</v>
      </c>
      <c r="EV73" s="4">
        <v>115</v>
      </c>
      <c r="EW73" s="4">
        <v>115</v>
      </c>
      <c r="EX73" s="4">
        <v>115</v>
      </c>
      <c r="EY73" s="4">
        <v>115</v>
      </c>
      <c r="EZ73" s="4">
        <v>115</v>
      </c>
      <c r="FA73" s="4">
        <v>115</v>
      </c>
      <c r="FB73" s="4">
        <v>115</v>
      </c>
      <c r="FC73" s="4">
        <v>115</v>
      </c>
      <c r="FD73" s="4">
        <v>100</v>
      </c>
      <c r="FE73" s="4">
        <v>100</v>
      </c>
      <c r="FF73" s="4">
        <v>108</v>
      </c>
      <c r="FG73" s="4">
        <v>103</v>
      </c>
      <c r="FH73" s="4">
        <v>115</v>
      </c>
      <c r="FI73" s="4">
        <v>63</v>
      </c>
      <c r="FJ73" s="4">
        <v>115</v>
      </c>
      <c r="FK73" s="4">
        <v>115</v>
      </c>
      <c r="FL73" s="4">
        <v>114</v>
      </c>
      <c r="FM73" s="4">
        <v>115</v>
      </c>
      <c r="FN73" s="4">
        <v>99</v>
      </c>
      <c r="FO73" s="4">
        <v>114</v>
      </c>
      <c r="FP73" s="4">
        <v>84</v>
      </c>
      <c r="FQ73" s="4">
        <v>115</v>
      </c>
      <c r="FR73" s="4">
        <v>115</v>
      </c>
      <c r="FS73" s="4">
        <v>92</v>
      </c>
      <c r="FT73" s="4">
        <v>115</v>
      </c>
      <c r="FU73" s="4">
        <v>115</v>
      </c>
      <c r="FV73" s="4">
        <v>115</v>
      </c>
      <c r="FW73" s="4">
        <v>115</v>
      </c>
      <c r="FX73" s="4">
        <v>115</v>
      </c>
      <c r="FY73" s="4">
        <v>115</v>
      </c>
      <c r="FZ73" s="4">
        <v>115</v>
      </c>
      <c r="GA73" s="4">
        <v>115</v>
      </c>
      <c r="GB73" s="4">
        <v>115</v>
      </c>
      <c r="GC73" s="4">
        <v>115</v>
      </c>
      <c r="GD73" s="4">
        <v>115</v>
      </c>
      <c r="GE73" s="4">
        <v>115</v>
      </c>
      <c r="GF73" s="4">
        <v>115</v>
      </c>
      <c r="GG73" s="4">
        <v>100</v>
      </c>
      <c r="GH73" s="4">
        <v>100</v>
      </c>
      <c r="GJ73" s="4">
        <v>59</v>
      </c>
      <c r="GK73" s="4">
        <v>2</v>
      </c>
      <c r="GL73" s="4">
        <v>25</v>
      </c>
      <c r="GT73" s="4">
        <v>-64</v>
      </c>
      <c r="GU73" s="4">
        <v>-6</v>
      </c>
      <c r="HH73" s="65" t="str">
        <f>'DATOS Y RESPUESTAS'!A8</f>
        <v>Institución:</v>
      </c>
      <c r="HI73" s="67" t="str">
        <f>'DATOS Y RESPUESTAS'!B8</f>
        <v>VIDA PLENA</v>
      </c>
      <c r="HJ73" s="66"/>
      <c r="HK73" s="66"/>
      <c r="IT73" s="4">
        <v>3</v>
      </c>
      <c r="IU73" s="4" t="s">
        <v>61</v>
      </c>
    </row>
    <row r="74" spans="1:255" x14ac:dyDescent="0.25">
      <c r="A74" s="4" t="s">
        <v>70</v>
      </c>
      <c r="E74" s="4">
        <f>SUM(B60+B61*3+B66*2+E58*2+E59*2+E63*3+I45*2+I54+I55*3+L45*2+L50*2+L51+L57*3+L61*2+L64*3+O48*2+O51*2+O59*2+O62*3+R56+R63*2+X44*3+X45+X49)</f>
        <v>10</v>
      </c>
      <c r="I74" s="28" t="s">
        <v>71</v>
      </c>
      <c r="J74" s="29"/>
      <c r="K74" s="6"/>
      <c r="L74" s="6"/>
      <c r="M74" s="6"/>
      <c r="N74" s="2">
        <f t="shared" si="0"/>
        <v>15</v>
      </c>
      <c r="O74" s="2">
        <f>LOOKUP(O104,FE109:FE112,FG109:FG112)</f>
        <v>20</v>
      </c>
      <c r="P74" s="6"/>
      <c r="Q74" s="2">
        <f>O74+Q102</f>
        <v>20</v>
      </c>
      <c r="R74" s="2"/>
      <c r="S74" s="2">
        <f>IF(Q74&lt;1,1,0)</f>
        <v>0</v>
      </c>
      <c r="T74" s="2">
        <f>SUM(S74+U74)</f>
        <v>0</v>
      </c>
      <c r="U74" s="2">
        <f t="shared" ref="U74:U84" si="2">IF(Q74&gt;115,2,0)</f>
        <v>0</v>
      </c>
      <c r="V74" s="2">
        <f t="shared" si="1"/>
        <v>20</v>
      </c>
      <c r="W74" s="2"/>
      <c r="X74" s="2">
        <f>V74-GM77</f>
        <v>20</v>
      </c>
      <c r="Y74" s="2"/>
      <c r="Z74" s="2">
        <f>IF(X74&lt;0,1,0)</f>
        <v>0</v>
      </c>
      <c r="AA74" s="2">
        <f>SUM(Z74+AB74)</f>
        <v>0</v>
      </c>
      <c r="AB74" s="2">
        <f>IF(X74&gt;115,2,0)</f>
        <v>0</v>
      </c>
      <c r="AC74" s="2"/>
      <c r="AD74" s="2">
        <f>IF((X74&lt;116)*AND(X74&gt;-1),X74,BN90)</f>
        <v>20</v>
      </c>
      <c r="AE74" s="2"/>
      <c r="AF74" s="2"/>
      <c r="AG74" s="2"/>
      <c r="AH74" s="2"/>
      <c r="AI74" s="2"/>
      <c r="AJ74" s="2"/>
      <c r="AK74" s="2"/>
      <c r="AL74" s="47"/>
      <c r="AM74" s="47"/>
      <c r="AN74" s="47"/>
      <c r="AO74" s="47"/>
      <c r="AP74" s="47"/>
      <c r="AQ74" s="47"/>
      <c r="AR74" s="47"/>
      <c r="AS74" s="47"/>
      <c r="AT74" s="47"/>
      <c r="AU74" s="54">
        <f t="shared" ref="AU74:AU84" si="3">AD74</f>
        <v>20</v>
      </c>
      <c r="AV74" s="56" t="str">
        <f>LOOKUP(AU74,IT70:IU185)</f>
        <v>Indicador nulo</v>
      </c>
      <c r="BV74" s="4">
        <v>58</v>
      </c>
      <c r="BW74" s="4">
        <v>114</v>
      </c>
      <c r="BX74" s="4">
        <v>113</v>
      </c>
      <c r="BY74" s="4">
        <v>115</v>
      </c>
      <c r="BZ74" s="4">
        <v>84</v>
      </c>
      <c r="CA74" s="4">
        <v>114</v>
      </c>
      <c r="CB74" s="4">
        <v>115</v>
      </c>
      <c r="CC74" s="4">
        <v>107</v>
      </c>
      <c r="CD74" s="4">
        <v>115</v>
      </c>
      <c r="CE74" s="4">
        <v>92</v>
      </c>
      <c r="CF74" s="4">
        <v>114</v>
      </c>
      <c r="CG74" s="4">
        <v>109</v>
      </c>
      <c r="CH74" s="4">
        <v>115</v>
      </c>
      <c r="CI74" s="4">
        <v>115</v>
      </c>
      <c r="CJ74" s="4">
        <v>111</v>
      </c>
      <c r="CK74" s="4">
        <v>115</v>
      </c>
      <c r="CL74" s="4">
        <v>115</v>
      </c>
      <c r="CM74" s="4">
        <v>115</v>
      </c>
      <c r="CN74" s="4">
        <v>115</v>
      </c>
      <c r="CO74" s="4">
        <v>115</v>
      </c>
      <c r="CP74" s="4">
        <v>115</v>
      </c>
      <c r="CQ74" s="4">
        <v>115</v>
      </c>
      <c r="CR74" s="4">
        <v>115</v>
      </c>
      <c r="CS74" s="4">
        <v>115</v>
      </c>
      <c r="CT74" s="4">
        <v>115</v>
      </c>
      <c r="CU74" s="4">
        <v>115</v>
      </c>
      <c r="CV74" s="4">
        <v>115</v>
      </c>
      <c r="CW74" s="4">
        <v>115</v>
      </c>
      <c r="CX74" s="4">
        <v>100</v>
      </c>
      <c r="CY74" s="4">
        <v>100</v>
      </c>
      <c r="CZ74" s="4">
        <v>115</v>
      </c>
      <c r="DA74" s="4">
        <v>112</v>
      </c>
      <c r="DB74" s="4">
        <v>115</v>
      </c>
      <c r="DC74" s="4">
        <v>80</v>
      </c>
      <c r="DD74" s="4">
        <v>115</v>
      </c>
      <c r="DE74" s="4">
        <v>115</v>
      </c>
      <c r="DF74" s="4">
        <v>113</v>
      </c>
      <c r="DG74" s="4">
        <v>115</v>
      </c>
      <c r="DH74" s="4">
        <v>106</v>
      </c>
      <c r="DI74" s="4">
        <v>115</v>
      </c>
      <c r="DJ74" s="4">
        <v>106</v>
      </c>
      <c r="DK74" s="4">
        <v>115</v>
      </c>
      <c r="DL74" s="4">
        <v>115</v>
      </c>
      <c r="DM74" s="4">
        <v>108</v>
      </c>
      <c r="DN74" s="4">
        <v>115</v>
      </c>
      <c r="DO74" s="4">
        <v>115</v>
      </c>
      <c r="DP74" s="4">
        <v>115</v>
      </c>
      <c r="DQ74" s="4">
        <v>115</v>
      </c>
      <c r="DR74" s="4">
        <v>115</v>
      </c>
      <c r="DS74" s="4">
        <v>115</v>
      </c>
      <c r="DT74" s="4">
        <v>115</v>
      </c>
      <c r="DU74" s="4">
        <v>115</v>
      </c>
      <c r="DV74" s="4">
        <v>115</v>
      </c>
      <c r="DW74" s="4">
        <v>115</v>
      </c>
      <c r="DX74" s="4">
        <v>115</v>
      </c>
      <c r="DY74" s="4">
        <v>115</v>
      </c>
      <c r="DZ74" s="4">
        <v>115</v>
      </c>
      <c r="EA74" s="4">
        <v>100</v>
      </c>
      <c r="EB74" s="4">
        <v>100</v>
      </c>
      <c r="EC74" s="4">
        <v>115</v>
      </c>
      <c r="ED74" s="4">
        <v>112</v>
      </c>
      <c r="EE74" s="4">
        <v>115</v>
      </c>
      <c r="EF74" s="4">
        <v>68</v>
      </c>
      <c r="EG74" s="4">
        <v>115</v>
      </c>
      <c r="EH74" s="4">
        <v>115</v>
      </c>
      <c r="EI74" s="4">
        <v>112</v>
      </c>
      <c r="EJ74" s="4">
        <v>115</v>
      </c>
      <c r="EK74" s="4">
        <v>94</v>
      </c>
      <c r="EL74" s="4">
        <v>113</v>
      </c>
      <c r="EM74" s="4">
        <v>101</v>
      </c>
      <c r="EN74" s="4">
        <v>115</v>
      </c>
      <c r="EO74" s="4">
        <v>115</v>
      </c>
      <c r="EP74" s="4">
        <v>104</v>
      </c>
      <c r="EQ74" s="4">
        <v>115</v>
      </c>
      <c r="ER74" s="4">
        <v>115</v>
      </c>
      <c r="ES74" s="4">
        <v>115</v>
      </c>
      <c r="ET74" s="4">
        <v>115</v>
      </c>
      <c r="EU74" s="4">
        <v>115</v>
      </c>
      <c r="EV74" s="4">
        <v>115</v>
      </c>
      <c r="EW74" s="4">
        <v>115</v>
      </c>
      <c r="EX74" s="4">
        <v>115</v>
      </c>
      <c r="EY74" s="4">
        <v>115</v>
      </c>
      <c r="EZ74" s="4">
        <v>115</v>
      </c>
      <c r="FA74" s="4">
        <v>115</v>
      </c>
      <c r="FB74" s="4">
        <v>115</v>
      </c>
      <c r="FC74" s="4">
        <v>115</v>
      </c>
      <c r="FD74" s="4">
        <v>100</v>
      </c>
      <c r="FE74" s="4">
        <v>100</v>
      </c>
      <c r="FF74" s="4">
        <v>108</v>
      </c>
      <c r="FG74" s="4">
        <v>106</v>
      </c>
      <c r="FH74" s="4">
        <v>115</v>
      </c>
      <c r="FI74" s="4">
        <v>66</v>
      </c>
      <c r="FJ74" s="4">
        <v>115</v>
      </c>
      <c r="FK74" s="4">
        <v>115</v>
      </c>
      <c r="FL74" s="4">
        <v>114</v>
      </c>
      <c r="FM74" s="4">
        <v>115</v>
      </c>
      <c r="FN74" s="4">
        <v>103</v>
      </c>
      <c r="FO74" s="4">
        <v>114</v>
      </c>
      <c r="FP74" s="4">
        <v>85</v>
      </c>
      <c r="FQ74" s="4">
        <v>115</v>
      </c>
      <c r="FR74" s="4">
        <v>115</v>
      </c>
      <c r="FS74" s="4">
        <v>101</v>
      </c>
      <c r="FT74" s="4">
        <v>115</v>
      </c>
      <c r="FU74" s="4">
        <v>115</v>
      </c>
      <c r="FV74" s="4">
        <v>115</v>
      </c>
      <c r="FW74" s="4">
        <v>115</v>
      </c>
      <c r="FX74" s="4">
        <v>115</v>
      </c>
      <c r="FY74" s="4">
        <v>115</v>
      </c>
      <c r="FZ74" s="4">
        <v>115</v>
      </c>
      <c r="GA74" s="4">
        <v>115</v>
      </c>
      <c r="GB74" s="4">
        <v>115</v>
      </c>
      <c r="GC74" s="4">
        <v>115</v>
      </c>
      <c r="GD74" s="4">
        <v>115</v>
      </c>
      <c r="GE74" s="4">
        <v>115</v>
      </c>
      <c r="GF74" s="4">
        <v>115</v>
      </c>
      <c r="GG74" s="4">
        <v>100</v>
      </c>
      <c r="GH74" s="4">
        <v>100</v>
      </c>
      <c r="GJ74" s="4">
        <v>60</v>
      </c>
      <c r="GK74" s="4">
        <v>2</v>
      </c>
      <c r="GL74" s="4">
        <v>25</v>
      </c>
      <c r="GM74" s="4">
        <f>IF((GN71=1)*AND(GN72=0),Q97-84,0)</f>
        <v>0</v>
      </c>
      <c r="GT74" s="4">
        <v>-63</v>
      </c>
      <c r="GU74" s="4">
        <v>-6</v>
      </c>
      <c r="HC74" s="4">
        <v>1</v>
      </c>
      <c r="HD74" s="4">
        <f t="shared" ref="HD74:HD84" si="4">AL73</f>
        <v>0</v>
      </c>
      <c r="HH74" s="65" t="str">
        <f>'DATOS Y RESPUESTAS'!A9</f>
        <v>Evaluador:</v>
      </c>
      <c r="HI74" s="67" t="str">
        <f>'DATOS Y RESPUESTAS'!B9</f>
        <v>GARCIA</v>
      </c>
      <c r="HJ74" s="66"/>
      <c r="HK74" s="66"/>
      <c r="IT74" s="4">
        <v>4</v>
      </c>
      <c r="IU74" s="4" t="s">
        <v>61</v>
      </c>
    </row>
    <row r="75" spans="1:255" x14ac:dyDescent="0.25">
      <c r="A75" s="4" t="s">
        <v>72</v>
      </c>
      <c r="E75" s="4">
        <f>SUM(B42*3+C44+C45+B46*2+B47*2+B49*2+B50*2+C51+C60+C62*2+B64*2+F44*2+E45*2+F57*2+F60+J43*2+J51+I54*3+J59*2+I62*2+J66+M44*2+L45+L47+L53*2+M54+M58*2+L59+L62*2)</f>
        <v>29</v>
      </c>
      <c r="F75" s="4">
        <f>SUM(M63*2+P42+O43*3+O50*3+O54*3+P58+O63*3+S44*2+R46+S48*2+R49+S63+S64+S66*2+X42*3+Y46+Y48*2+Y49+Y51)</f>
        <v>20</v>
      </c>
      <c r="I75" s="28" t="s">
        <v>73</v>
      </c>
      <c r="J75" s="29"/>
      <c r="K75" s="6"/>
      <c r="L75" s="6"/>
      <c r="M75" s="6"/>
      <c r="N75" s="2">
        <f t="shared" si="0"/>
        <v>10</v>
      </c>
      <c r="O75" s="2">
        <f>LOOKUP(O104,FE109:FE112,FH109:FH112)</f>
        <v>37</v>
      </c>
      <c r="P75" s="6"/>
      <c r="Q75" s="2">
        <f>O75+Q102</f>
        <v>37</v>
      </c>
      <c r="R75" s="2"/>
      <c r="S75" s="2">
        <f t="shared" ref="S75:S84" si="5">IF(Q75&lt;1,1,0)</f>
        <v>0</v>
      </c>
      <c r="T75" s="2">
        <f>SUM(S75+U75)</f>
        <v>0</v>
      </c>
      <c r="U75" s="2">
        <f t="shared" si="2"/>
        <v>0</v>
      </c>
      <c r="V75" s="2">
        <f t="shared" si="1"/>
        <v>37</v>
      </c>
      <c r="W75" s="2"/>
      <c r="X75" s="2">
        <f>V75-GM77</f>
        <v>37</v>
      </c>
      <c r="Y75" s="2"/>
      <c r="Z75" s="2">
        <f>IF(X75&lt;0,1,0)</f>
        <v>0</v>
      </c>
      <c r="AA75" s="2">
        <f>SUM(Z75+AB75)</f>
        <v>0</v>
      </c>
      <c r="AB75" s="2">
        <f>IF(X75&gt;115,2,0)</f>
        <v>0</v>
      </c>
      <c r="AC75" s="2"/>
      <c r="AD75" s="2">
        <f>IF((X75&lt;116)*AND(X75&gt;-1),X75,BN91)</f>
        <v>37</v>
      </c>
      <c r="AE75" s="2"/>
      <c r="AF75" s="2"/>
      <c r="AG75" s="2"/>
      <c r="AH75" s="2"/>
      <c r="AI75" s="2"/>
      <c r="AJ75" s="2"/>
      <c r="AK75" s="2"/>
      <c r="AL75" s="47"/>
      <c r="AM75" s="47"/>
      <c r="AN75" s="47"/>
      <c r="AO75" s="47"/>
      <c r="AP75" s="47"/>
      <c r="AQ75" s="47"/>
      <c r="AR75" s="47"/>
      <c r="AS75" s="47"/>
      <c r="AT75" s="47"/>
      <c r="AU75" s="54">
        <f t="shared" si="3"/>
        <v>37</v>
      </c>
      <c r="AV75" s="56" t="str">
        <f>LOOKUP(AU75,IT70:IU185)</f>
        <v>Indicador nulo</v>
      </c>
      <c r="BV75" s="4">
        <v>59</v>
      </c>
      <c r="BW75" s="4">
        <v>114</v>
      </c>
      <c r="BX75" s="4">
        <v>113</v>
      </c>
      <c r="BY75" s="4">
        <v>115</v>
      </c>
      <c r="BZ75" s="4">
        <v>85</v>
      </c>
      <c r="CA75" s="4">
        <v>115</v>
      </c>
      <c r="CB75" s="4">
        <v>115</v>
      </c>
      <c r="CC75" s="4">
        <v>107</v>
      </c>
      <c r="CD75" s="4">
        <v>115</v>
      </c>
      <c r="CE75" s="4">
        <v>98</v>
      </c>
      <c r="CF75" s="4">
        <v>114</v>
      </c>
      <c r="CG75" s="4">
        <v>109</v>
      </c>
      <c r="CH75" s="4">
        <v>115</v>
      </c>
      <c r="CI75" s="4">
        <v>115</v>
      </c>
      <c r="CJ75" s="4">
        <v>112</v>
      </c>
      <c r="CK75" s="4">
        <v>115</v>
      </c>
      <c r="CL75" s="4">
        <v>115</v>
      </c>
      <c r="CM75" s="4">
        <v>115</v>
      </c>
      <c r="CN75" s="4">
        <v>115</v>
      </c>
      <c r="CO75" s="4">
        <v>115</v>
      </c>
      <c r="CP75" s="4">
        <v>115</v>
      </c>
      <c r="CQ75" s="4">
        <v>115</v>
      </c>
      <c r="CR75" s="4">
        <v>115</v>
      </c>
      <c r="CS75" s="4">
        <v>115</v>
      </c>
      <c r="CT75" s="4">
        <v>115</v>
      </c>
      <c r="CU75" s="4">
        <v>115</v>
      </c>
      <c r="CV75" s="4">
        <v>115</v>
      </c>
      <c r="CW75" s="4">
        <v>115</v>
      </c>
      <c r="CX75" s="4">
        <v>100</v>
      </c>
      <c r="CY75" s="4">
        <v>100</v>
      </c>
      <c r="CZ75" s="4">
        <v>115</v>
      </c>
      <c r="DA75" s="4">
        <v>115</v>
      </c>
      <c r="DB75" s="4">
        <v>115</v>
      </c>
      <c r="DC75" s="4">
        <v>85</v>
      </c>
      <c r="DD75" s="4">
        <v>115</v>
      </c>
      <c r="DE75" s="4">
        <v>115</v>
      </c>
      <c r="DF75" s="4">
        <v>113</v>
      </c>
      <c r="DG75" s="4">
        <v>115</v>
      </c>
      <c r="DH75" s="4">
        <v>110</v>
      </c>
      <c r="DI75" s="4">
        <v>115</v>
      </c>
      <c r="DJ75" s="4">
        <v>109</v>
      </c>
      <c r="DK75" s="4">
        <v>115</v>
      </c>
      <c r="DL75" s="4">
        <v>115</v>
      </c>
      <c r="DM75" s="4">
        <v>108</v>
      </c>
      <c r="DN75" s="4">
        <v>115</v>
      </c>
      <c r="DO75" s="4">
        <v>115</v>
      </c>
      <c r="DP75" s="4">
        <v>115</v>
      </c>
      <c r="DQ75" s="4">
        <v>115</v>
      </c>
      <c r="DR75" s="4">
        <v>115</v>
      </c>
      <c r="DS75" s="4">
        <v>115</v>
      </c>
      <c r="DT75" s="4">
        <v>115</v>
      </c>
      <c r="DU75" s="4">
        <v>115</v>
      </c>
      <c r="DV75" s="4">
        <v>115</v>
      </c>
      <c r="DW75" s="4">
        <v>115</v>
      </c>
      <c r="DX75" s="4">
        <v>115</v>
      </c>
      <c r="DY75" s="4">
        <v>115</v>
      </c>
      <c r="DZ75" s="4">
        <v>115</v>
      </c>
      <c r="EA75" s="4">
        <v>100</v>
      </c>
      <c r="EB75" s="4">
        <v>100</v>
      </c>
      <c r="EC75" s="4">
        <v>115</v>
      </c>
      <c r="ED75" s="4">
        <v>114</v>
      </c>
      <c r="EE75" s="4">
        <v>115</v>
      </c>
      <c r="EF75" s="4">
        <v>71</v>
      </c>
      <c r="EG75" s="4">
        <v>115</v>
      </c>
      <c r="EH75" s="4">
        <v>115</v>
      </c>
      <c r="EI75" s="4">
        <v>112</v>
      </c>
      <c r="EJ75" s="4">
        <v>115</v>
      </c>
      <c r="EK75" s="4">
        <v>99</v>
      </c>
      <c r="EL75" s="4">
        <v>114</v>
      </c>
      <c r="EM75" s="4">
        <v>102</v>
      </c>
      <c r="EN75" s="4">
        <v>115</v>
      </c>
      <c r="EO75" s="4">
        <v>115</v>
      </c>
      <c r="EP75" s="4">
        <v>108</v>
      </c>
      <c r="EQ75" s="4">
        <v>115</v>
      </c>
      <c r="ER75" s="4">
        <v>115</v>
      </c>
      <c r="ES75" s="4">
        <v>115</v>
      </c>
      <c r="ET75" s="4">
        <v>115</v>
      </c>
      <c r="EU75" s="4">
        <v>115</v>
      </c>
      <c r="EV75" s="4">
        <v>115</v>
      </c>
      <c r="EW75" s="4">
        <v>115</v>
      </c>
      <c r="EX75" s="4">
        <v>115</v>
      </c>
      <c r="EY75" s="4">
        <v>115</v>
      </c>
      <c r="EZ75" s="4">
        <v>115</v>
      </c>
      <c r="FA75" s="4">
        <v>115</v>
      </c>
      <c r="FB75" s="4">
        <v>115</v>
      </c>
      <c r="FC75" s="4">
        <v>115</v>
      </c>
      <c r="FD75" s="4">
        <v>100</v>
      </c>
      <c r="FE75" s="4">
        <v>100</v>
      </c>
      <c r="FF75" s="4">
        <v>108</v>
      </c>
      <c r="FG75" s="4">
        <v>107</v>
      </c>
      <c r="FH75" s="4">
        <v>115</v>
      </c>
      <c r="FI75" s="4">
        <v>68</v>
      </c>
      <c r="FJ75" s="4">
        <v>115</v>
      </c>
      <c r="FK75" s="4">
        <v>115</v>
      </c>
      <c r="FL75" s="4">
        <v>114</v>
      </c>
      <c r="FM75" s="4">
        <v>115</v>
      </c>
      <c r="FN75" s="4">
        <v>108</v>
      </c>
      <c r="FO75" s="4">
        <v>114</v>
      </c>
      <c r="FP75" s="4">
        <v>87</v>
      </c>
      <c r="FQ75" s="4">
        <v>115</v>
      </c>
      <c r="FR75" s="4">
        <v>115</v>
      </c>
      <c r="FS75" s="4">
        <v>102</v>
      </c>
      <c r="FT75" s="4">
        <v>115</v>
      </c>
      <c r="FU75" s="4">
        <v>115</v>
      </c>
      <c r="FV75" s="4">
        <v>115</v>
      </c>
      <c r="FW75" s="4">
        <v>115</v>
      </c>
      <c r="FX75" s="4">
        <v>115</v>
      </c>
      <c r="FY75" s="4">
        <v>115</v>
      </c>
      <c r="FZ75" s="4">
        <v>115</v>
      </c>
      <c r="GA75" s="4">
        <v>115</v>
      </c>
      <c r="GB75" s="4">
        <v>115</v>
      </c>
      <c r="GC75" s="4">
        <v>115</v>
      </c>
      <c r="GD75" s="4">
        <v>115</v>
      </c>
      <c r="GE75" s="4">
        <v>115</v>
      </c>
      <c r="GF75" s="4">
        <v>115</v>
      </c>
      <c r="GG75" s="4">
        <v>100</v>
      </c>
      <c r="GH75" s="4">
        <v>100</v>
      </c>
      <c r="GJ75" s="4">
        <v>61</v>
      </c>
      <c r="GK75" s="4">
        <v>2</v>
      </c>
      <c r="GL75" s="4">
        <v>25</v>
      </c>
      <c r="GM75" s="4">
        <f>IF((GN71=0)*AND(GN72=1),Q98-84,0)</f>
        <v>0</v>
      </c>
      <c r="GP75" s="4">
        <v>0</v>
      </c>
      <c r="GQ75" s="4">
        <v>0</v>
      </c>
      <c r="GT75" s="4">
        <v>-62</v>
      </c>
      <c r="GU75" s="4">
        <v>-6</v>
      </c>
      <c r="HC75" s="4" t="s">
        <v>25</v>
      </c>
      <c r="HD75" s="4">
        <f t="shared" si="4"/>
        <v>0</v>
      </c>
      <c r="HH75" s="65" t="str">
        <f>'DATOS Y RESPUESTAS'!A10</f>
        <v>Fecha:</v>
      </c>
      <c r="HI75" s="67" t="str">
        <f>'DATOS Y RESPUESTAS'!B10</f>
        <v>08 de agosto 2025</v>
      </c>
      <c r="HJ75" s="66"/>
      <c r="HK75" s="66"/>
      <c r="IT75" s="4">
        <v>5</v>
      </c>
      <c r="IU75" s="4" t="s">
        <v>61</v>
      </c>
    </row>
    <row r="76" spans="1:255" x14ac:dyDescent="0.25">
      <c r="A76" s="4" t="s">
        <v>74</v>
      </c>
      <c r="E76" s="4">
        <f>SUM(B51*2+C54+C60+B65*3+F42+E44+F47*2+F50+F51*2+F52+F54*2+E56+F59+F63+I47*3+I50*3+J60*2+I61*3+I66+L43*3+M50+M51*2+L52*2+M53+M55+L58+M63*2+M66)</f>
        <v>32</v>
      </c>
      <c r="F76" s="4">
        <f>SUM(O42*2+O44*3+P47+P51+O52+P60*2+S43+S48+R51+S58*2+R59+R64+Y44)</f>
        <v>8</v>
      </c>
      <c r="I76" s="28" t="s">
        <v>75</v>
      </c>
      <c r="J76" s="29"/>
      <c r="K76" s="6"/>
      <c r="L76" s="6"/>
      <c r="M76" s="6"/>
      <c r="N76" s="2">
        <f t="shared" si="0"/>
        <v>49</v>
      </c>
      <c r="O76" s="2">
        <f>LOOKUP(O104,FE109:FE112,FI109:FI112)</f>
        <v>42</v>
      </c>
      <c r="P76" s="6"/>
      <c r="Q76" s="2">
        <f>O76+Q102</f>
        <v>42</v>
      </c>
      <c r="R76" s="2"/>
      <c r="S76" s="2">
        <f t="shared" si="5"/>
        <v>0</v>
      </c>
      <c r="T76" s="2">
        <f t="shared" ref="T76:T84" si="6">SUM(S76+U76)</f>
        <v>0</v>
      </c>
      <c r="U76" s="2">
        <f t="shared" si="2"/>
        <v>0</v>
      </c>
      <c r="V76" s="2">
        <f t="shared" si="1"/>
        <v>42</v>
      </c>
      <c r="W76" s="2"/>
      <c r="X76" s="2">
        <f>V76</f>
        <v>42</v>
      </c>
      <c r="Y76" s="2"/>
      <c r="Z76" s="2"/>
      <c r="AA76" s="2"/>
      <c r="AB76" s="2"/>
      <c r="AC76" s="2"/>
      <c r="AD76" s="2">
        <f>V76</f>
        <v>42</v>
      </c>
      <c r="AE76" s="2"/>
      <c r="AF76" s="2"/>
      <c r="AG76" s="2"/>
      <c r="AH76" s="2"/>
      <c r="AI76" s="2"/>
      <c r="AJ76" s="2"/>
      <c r="AK76" s="2"/>
      <c r="AL76" s="47"/>
      <c r="AM76" s="47"/>
      <c r="AN76" s="47"/>
      <c r="AO76" s="47"/>
      <c r="AP76" s="47"/>
      <c r="AQ76" s="47"/>
      <c r="AR76" s="47"/>
      <c r="AS76" s="47"/>
      <c r="AT76" s="47"/>
      <c r="AU76" s="54">
        <f t="shared" si="3"/>
        <v>42</v>
      </c>
      <c r="AV76" s="56" t="str">
        <f>LOOKUP(AU76,IT70:IU185)</f>
        <v>Indicador nulo</v>
      </c>
      <c r="BC76" s="4" t="s">
        <v>76</v>
      </c>
      <c r="BD76" s="4">
        <f>IF((HD78&gt;HD74)*AND(HD78&gt;HD75)*AND(HD78&gt;HD76)*AND(HD78&gt;HD77)*AND(HD78&gt;HD80)*AND(HD78&gt;HD81)*AND(HD78&gt;HD83)*AND(HD78&gt;HD84),1,0)</f>
        <v>0</v>
      </c>
      <c r="BF76" s="4" t="s">
        <v>25</v>
      </c>
      <c r="BG76" s="4">
        <f>IF((HD75&gt;HD74)*AND(HD75&gt;HD77)*AND(HD75&gt;HD78)*AND(HD75&gt;HD79)*AND(HD75&gt;HD80)*AND(HD75&gt;HD81)*AND(HD75&gt;HD82)*AND(HD75&gt;HD83),1,0)</f>
        <v>0</v>
      </c>
      <c r="BV76" s="4">
        <v>60</v>
      </c>
      <c r="BW76" s="4">
        <v>114</v>
      </c>
      <c r="BX76" s="4">
        <v>114</v>
      </c>
      <c r="BY76" s="4">
        <v>115</v>
      </c>
      <c r="BZ76" s="4">
        <v>89</v>
      </c>
      <c r="CA76" s="4">
        <v>115</v>
      </c>
      <c r="CB76" s="4">
        <v>115</v>
      </c>
      <c r="CC76" s="4">
        <v>110</v>
      </c>
      <c r="CD76" s="4">
        <v>115</v>
      </c>
      <c r="CE76" s="4">
        <v>106</v>
      </c>
      <c r="CF76" s="4">
        <v>114</v>
      </c>
      <c r="CG76" s="4">
        <v>111</v>
      </c>
      <c r="CH76" s="4">
        <v>115</v>
      </c>
      <c r="CI76" s="4">
        <v>115</v>
      </c>
      <c r="CJ76" s="4">
        <v>114</v>
      </c>
      <c r="CK76" s="4">
        <v>115</v>
      </c>
      <c r="CL76" s="4">
        <v>115</v>
      </c>
      <c r="CM76" s="4">
        <v>115</v>
      </c>
      <c r="CN76" s="4">
        <v>115</v>
      </c>
      <c r="CO76" s="4">
        <v>115</v>
      </c>
      <c r="CP76" s="4">
        <v>115</v>
      </c>
      <c r="CQ76" s="4">
        <v>115</v>
      </c>
      <c r="CR76" s="4">
        <v>115</v>
      </c>
      <c r="CS76" s="4">
        <v>115</v>
      </c>
      <c r="CT76" s="4">
        <v>115</v>
      </c>
      <c r="CU76" s="4">
        <v>115</v>
      </c>
      <c r="CV76" s="4">
        <v>115</v>
      </c>
      <c r="CW76" s="4">
        <v>115</v>
      </c>
      <c r="CX76" s="4">
        <v>100</v>
      </c>
      <c r="CY76" s="4">
        <v>100</v>
      </c>
      <c r="CZ76" s="4">
        <v>115</v>
      </c>
      <c r="DA76" s="4">
        <v>115</v>
      </c>
      <c r="DB76" s="4">
        <v>115</v>
      </c>
      <c r="DC76" s="4">
        <v>88</v>
      </c>
      <c r="DD76" s="4">
        <v>115</v>
      </c>
      <c r="DE76" s="4">
        <v>115</v>
      </c>
      <c r="DF76" s="4">
        <v>113</v>
      </c>
      <c r="DG76" s="4">
        <v>115</v>
      </c>
      <c r="DH76" s="4">
        <v>113</v>
      </c>
      <c r="DI76" s="4">
        <v>115</v>
      </c>
      <c r="DJ76" s="4">
        <v>109</v>
      </c>
      <c r="DK76" s="4">
        <v>115</v>
      </c>
      <c r="DL76" s="4">
        <v>115</v>
      </c>
      <c r="DM76" s="4">
        <v>110</v>
      </c>
      <c r="DN76" s="4">
        <v>115</v>
      </c>
      <c r="DO76" s="4">
        <v>115</v>
      </c>
      <c r="DP76" s="4">
        <v>115</v>
      </c>
      <c r="DQ76" s="4">
        <v>115</v>
      </c>
      <c r="DR76" s="4">
        <v>115</v>
      </c>
      <c r="DS76" s="4">
        <v>115</v>
      </c>
      <c r="DT76" s="4">
        <v>115</v>
      </c>
      <c r="DU76" s="4">
        <v>115</v>
      </c>
      <c r="DV76" s="4">
        <v>115</v>
      </c>
      <c r="DW76" s="4">
        <v>115</v>
      </c>
      <c r="DX76" s="4">
        <v>115</v>
      </c>
      <c r="DY76" s="4">
        <v>115</v>
      </c>
      <c r="DZ76" s="4">
        <v>115</v>
      </c>
      <c r="EA76" s="4">
        <v>100</v>
      </c>
      <c r="EB76" s="4">
        <v>100</v>
      </c>
      <c r="EC76" s="4">
        <v>115</v>
      </c>
      <c r="ED76" s="4">
        <v>114</v>
      </c>
      <c r="EE76" s="4">
        <v>115</v>
      </c>
      <c r="EF76" s="4">
        <v>74</v>
      </c>
      <c r="EG76" s="4">
        <v>115</v>
      </c>
      <c r="EH76" s="4">
        <v>115</v>
      </c>
      <c r="EI76" s="4">
        <v>112</v>
      </c>
      <c r="EJ76" s="4">
        <v>115</v>
      </c>
      <c r="EK76" s="4">
        <v>107</v>
      </c>
      <c r="EL76" s="4">
        <v>114</v>
      </c>
      <c r="EM76" s="4">
        <v>104</v>
      </c>
      <c r="EN76" s="4">
        <v>115</v>
      </c>
      <c r="EO76" s="4">
        <v>115</v>
      </c>
      <c r="EP76" s="4">
        <v>110</v>
      </c>
      <c r="EQ76" s="4">
        <v>115</v>
      </c>
      <c r="ER76" s="4">
        <v>115</v>
      </c>
      <c r="ES76" s="4">
        <v>115</v>
      </c>
      <c r="ET76" s="4">
        <v>115</v>
      </c>
      <c r="EU76" s="4">
        <v>115</v>
      </c>
      <c r="EV76" s="4">
        <v>115</v>
      </c>
      <c r="EW76" s="4">
        <v>115</v>
      </c>
      <c r="EX76" s="4">
        <v>115</v>
      </c>
      <c r="EY76" s="4">
        <v>115</v>
      </c>
      <c r="EZ76" s="4">
        <v>115</v>
      </c>
      <c r="FA76" s="4">
        <v>115</v>
      </c>
      <c r="FB76" s="4">
        <v>115</v>
      </c>
      <c r="FC76" s="4">
        <v>115</v>
      </c>
      <c r="FD76" s="4">
        <v>100</v>
      </c>
      <c r="FE76" s="4">
        <v>100</v>
      </c>
      <c r="FF76" s="4">
        <v>108</v>
      </c>
      <c r="FG76" s="4">
        <v>110</v>
      </c>
      <c r="FH76" s="4">
        <v>115</v>
      </c>
      <c r="FI76" s="4">
        <v>69</v>
      </c>
      <c r="FJ76" s="4">
        <v>115</v>
      </c>
      <c r="FK76" s="4">
        <v>115</v>
      </c>
      <c r="FL76" s="4">
        <v>114</v>
      </c>
      <c r="FM76" s="4">
        <v>115</v>
      </c>
      <c r="FN76" s="4">
        <v>112</v>
      </c>
      <c r="FO76" s="4">
        <v>114</v>
      </c>
      <c r="FP76" s="4">
        <v>96</v>
      </c>
      <c r="FQ76" s="4">
        <v>115</v>
      </c>
      <c r="FR76" s="4">
        <v>115</v>
      </c>
      <c r="FS76" s="4">
        <v>103</v>
      </c>
      <c r="FT76" s="4">
        <v>115</v>
      </c>
      <c r="FU76" s="4">
        <v>115</v>
      </c>
      <c r="FV76" s="4">
        <v>115</v>
      </c>
      <c r="FW76" s="4">
        <v>115</v>
      </c>
      <c r="FX76" s="4">
        <v>115</v>
      </c>
      <c r="FY76" s="4">
        <v>115</v>
      </c>
      <c r="FZ76" s="4">
        <v>115</v>
      </c>
      <c r="GA76" s="4">
        <v>115</v>
      </c>
      <c r="GB76" s="4">
        <v>115</v>
      </c>
      <c r="GC76" s="4">
        <v>115</v>
      </c>
      <c r="GD76" s="4">
        <v>115</v>
      </c>
      <c r="GE76" s="4">
        <v>115</v>
      </c>
      <c r="GF76" s="4">
        <v>115</v>
      </c>
      <c r="GG76" s="4">
        <v>100</v>
      </c>
      <c r="GH76" s="4">
        <v>100</v>
      </c>
      <c r="GJ76" s="4">
        <v>62</v>
      </c>
      <c r="GK76" s="4">
        <v>2</v>
      </c>
      <c r="GL76" s="4">
        <v>25</v>
      </c>
      <c r="GM76" s="4">
        <f>IF((GN71=1)*AND(GN72=1),(Q97-84)+(Q98-84),0)</f>
        <v>0</v>
      </c>
      <c r="GN76" s="4">
        <f>SUM(GM74:GM76)</f>
        <v>0</v>
      </c>
      <c r="GP76" s="4">
        <v>1</v>
      </c>
      <c r="GQ76" s="4">
        <v>1</v>
      </c>
      <c r="GT76" s="4">
        <v>-61</v>
      </c>
      <c r="GU76" s="4">
        <v>-6</v>
      </c>
      <c r="HC76" s="4" t="s">
        <v>26</v>
      </c>
      <c r="HD76" s="4">
        <f t="shared" si="4"/>
        <v>0</v>
      </c>
      <c r="HH76" s="66"/>
      <c r="HI76" s="66"/>
      <c r="HJ76" s="66"/>
      <c r="HK76" s="66"/>
      <c r="IT76" s="4">
        <v>6</v>
      </c>
      <c r="IU76" s="4" t="s">
        <v>61</v>
      </c>
    </row>
    <row r="77" spans="1:255" x14ac:dyDescent="0.25">
      <c r="A77" s="4" t="s">
        <v>77</v>
      </c>
      <c r="E77" s="4">
        <f>SUM(C42+B43+B48*3+B51*2+C60+C61+B65*2+C66+F42+F47*2+F50+F54*2+E55+E57+I43*3+I47*2+I50)</f>
        <v>13</v>
      </c>
      <c r="F77" s="4">
        <f>SUM(J54*2+I59+J60*2+I61+M50*2+L52*3+M57+L60+M65*2)</f>
        <v>8</v>
      </c>
      <c r="H77" s="14">
        <f>SUM(O42*3+O44*2+O45+P56+S43*2+R47+R51*3+R55+S56*2+R61*2+R62*3+Y42)</f>
        <v>6</v>
      </c>
      <c r="I77" s="28" t="s">
        <v>78</v>
      </c>
      <c r="J77" s="29"/>
      <c r="K77" s="6"/>
      <c r="L77" s="6"/>
      <c r="M77" s="6"/>
      <c r="N77" s="2">
        <f t="shared" si="0"/>
        <v>40</v>
      </c>
      <c r="O77" s="2">
        <f>LOOKUP(O104,FE109:FE112,FJ109:FJ112)</f>
        <v>72</v>
      </c>
      <c r="P77" s="6"/>
      <c r="Q77" s="2">
        <f>O77+Q102</f>
        <v>72</v>
      </c>
      <c r="R77" s="2"/>
      <c r="S77" s="2">
        <f t="shared" si="5"/>
        <v>0</v>
      </c>
      <c r="T77" s="2">
        <f t="shared" si="6"/>
        <v>0</v>
      </c>
      <c r="U77" s="2">
        <f t="shared" si="2"/>
        <v>0</v>
      </c>
      <c r="V77" s="2">
        <f t="shared" si="1"/>
        <v>72</v>
      </c>
      <c r="W77" s="2"/>
      <c r="X77" s="2">
        <f t="shared" ref="X77:X82" si="7">V77</f>
        <v>72</v>
      </c>
      <c r="Y77" s="2"/>
      <c r="Z77" s="2"/>
      <c r="AA77" s="2"/>
      <c r="AB77" s="2"/>
      <c r="AC77" s="2"/>
      <c r="AD77" s="2">
        <f t="shared" ref="AD77:AD82" si="8">V77</f>
        <v>72</v>
      </c>
      <c r="AE77" s="2"/>
      <c r="AF77" s="2"/>
      <c r="AG77" s="2"/>
      <c r="AH77" s="2"/>
      <c r="AI77" s="2"/>
      <c r="AJ77" s="2"/>
      <c r="AK77" s="2"/>
      <c r="AL77" s="47"/>
      <c r="AM77" s="47"/>
      <c r="AN77" s="47"/>
      <c r="AO77" s="47"/>
      <c r="AP77" s="47"/>
      <c r="AQ77" s="47"/>
      <c r="AR77" s="47"/>
      <c r="AS77" s="47"/>
      <c r="AT77" s="47"/>
      <c r="AU77" s="54">
        <f t="shared" si="3"/>
        <v>72</v>
      </c>
      <c r="AV77" s="56" t="str">
        <f>LOOKUP(AU77,IT70:IU185)</f>
        <v>Tema ligeramente problemático</v>
      </c>
      <c r="BC77" s="4" t="s">
        <v>79</v>
      </c>
      <c r="BD77" s="4">
        <f>IF((HD79&gt;HD74)*AND(HD79&gt;HD75)*(HD79&gt;HD76)*AND(HD79&gt;HD77)*AND(HD79&gt;HD80)*AND(HD79&gt;HD81)*AND(HD79&gt;HD83)*AND(HD79&gt;HD84),1,0)</f>
        <v>0</v>
      </c>
      <c r="BF77" s="4" t="s">
        <v>26</v>
      </c>
      <c r="BG77" s="4">
        <f>IF((HD76&gt;HD74)*AND(HD76&gt;HD77)*AND(HD76&gt;HD78)*AND(HD76&gt;HD79)*AND(HD76&gt;HD80)*AND(HD76&gt;HD81)*AND(HD76&gt;HD82)*AND(HD76&gt;HD83),1,0)</f>
        <v>0</v>
      </c>
      <c r="BU77" s="4" t="s">
        <v>80</v>
      </c>
      <c r="BV77" s="4">
        <v>61</v>
      </c>
      <c r="BW77" s="4">
        <v>114</v>
      </c>
      <c r="BX77" s="4">
        <v>114</v>
      </c>
      <c r="BY77" s="4">
        <v>115</v>
      </c>
      <c r="BZ77" s="4">
        <v>94</v>
      </c>
      <c r="CA77" s="4">
        <v>115</v>
      </c>
      <c r="CB77" s="4">
        <v>115</v>
      </c>
      <c r="CC77" s="4">
        <v>112</v>
      </c>
      <c r="CD77" s="4">
        <v>115</v>
      </c>
      <c r="CE77" s="4">
        <v>112</v>
      </c>
      <c r="CF77" s="4">
        <v>115</v>
      </c>
      <c r="CG77" s="4">
        <v>111</v>
      </c>
      <c r="CH77" s="4">
        <v>115</v>
      </c>
      <c r="CI77" s="4">
        <v>115</v>
      </c>
      <c r="CJ77" s="4">
        <v>115</v>
      </c>
      <c r="CK77" s="4">
        <v>115</v>
      </c>
      <c r="CL77" s="4">
        <v>115</v>
      </c>
      <c r="CM77" s="4">
        <v>115</v>
      </c>
      <c r="CN77" s="4">
        <v>115</v>
      </c>
      <c r="CO77" s="4">
        <v>115</v>
      </c>
      <c r="CP77" s="4">
        <v>115</v>
      </c>
      <c r="CQ77" s="4">
        <v>115</v>
      </c>
      <c r="CR77" s="4">
        <v>115</v>
      </c>
      <c r="CS77" s="4">
        <v>115</v>
      </c>
      <c r="CT77" s="4">
        <v>115</v>
      </c>
      <c r="CU77" s="4">
        <v>115</v>
      </c>
      <c r="CV77" s="4">
        <v>115</v>
      </c>
      <c r="CW77" s="4">
        <v>115</v>
      </c>
      <c r="CX77" s="4">
        <v>100</v>
      </c>
      <c r="CY77" s="4">
        <v>100</v>
      </c>
      <c r="CZ77" s="4">
        <v>115</v>
      </c>
      <c r="DA77" s="4">
        <v>115</v>
      </c>
      <c r="DB77" s="4">
        <v>115</v>
      </c>
      <c r="DC77" s="4">
        <v>94</v>
      </c>
      <c r="DD77" s="4">
        <v>115</v>
      </c>
      <c r="DE77" s="4">
        <v>115</v>
      </c>
      <c r="DF77" s="4">
        <v>113</v>
      </c>
      <c r="DG77" s="4">
        <v>115</v>
      </c>
      <c r="DH77" s="4">
        <v>113</v>
      </c>
      <c r="DI77" s="4">
        <v>115</v>
      </c>
      <c r="DJ77" s="4">
        <v>109</v>
      </c>
      <c r="DK77" s="4">
        <v>115</v>
      </c>
      <c r="DL77" s="4">
        <v>115</v>
      </c>
      <c r="DM77" s="4">
        <v>113</v>
      </c>
      <c r="DN77" s="4">
        <v>115</v>
      </c>
      <c r="DO77" s="4">
        <v>115</v>
      </c>
      <c r="DP77" s="4">
        <v>115</v>
      </c>
      <c r="DQ77" s="4">
        <v>115</v>
      </c>
      <c r="DR77" s="4">
        <v>115</v>
      </c>
      <c r="DS77" s="4">
        <v>115</v>
      </c>
      <c r="DT77" s="4">
        <v>115</v>
      </c>
      <c r="DU77" s="4">
        <v>115</v>
      </c>
      <c r="DV77" s="4">
        <v>115</v>
      </c>
      <c r="DW77" s="4">
        <v>115</v>
      </c>
      <c r="DX77" s="4">
        <v>115</v>
      </c>
      <c r="DY77" s="4">
        <v>115</v>
      </c>
      <c r="DZ77" s="4">
        <v>115</v>
      </c>
      <c r="EA77" s="4">
        <v>100</v>
      </c>
      <c r="EB77" s="4">
        <v>100</v>
      </c>
      <c r="EC77" s="4">
        <v>115</v>
      </c>
      <c r="ED77" s="4">
        <v>115</v>
      </c>
      <c r="EE77" s="4">
        <v>115</v>
      </c>
      <c r="EF77" s="4">
        <v>75</v>
      </c>
      <c r="EG77" s="4">
        <v>115</v>
      </c>
      <c r="EH77" s="4">
        <v>115</v>
      </c>
      <c r="EI77" s="4">
        <v>113</v>
      </c>
      <c r="EJ77" s="4">
        <v>115</v>
      </c>
      <c r="EK77" s="4">
        <v>109</v>
      </c>
      <c r="EL77" s="4">
        <v>114</v>
      </c>
      <c r="EM77" s="4">
        <v>104</v>
      </c>
      <c r="EN77" s="4">
        <v>115</v>
      </c>
      <c r="EO77" s="4">
        <v>115</v>
      </c>
      <c r="EP77" s="4">
        <v>111</v>
      </c>
      <c r="EQ77" s="4">
        <v>115</v>
      </c>
      <c r="ER77" s="4">
        <v>115</v>
      </c>
      <c r="ES77" s="4">
        <v>115</v>
      </c>
      <c r="ET77" s="4">
        <v>115</v>
      </c>
      <c r="EU77" s="4">
        <v>115</v>
      </c>
      <c r="EV77" s="4">
        <v>115</v>
      </c>
      <c r="EW77" s="4">
        <v>115</v>
      </c>
      <c r="EX77" s="4">
        <v>115</v>
      </c>
      <c r="EY77" s="4">
        <v>115</v>
      </c>
      <c r="EZ77" s="4">
        <v>115</v>
      </c>
      <c r="FA77" s="4">
        <v>115</v>
      </c>
      <c r="FB77" s="4">
        <v>115</v>
      </c>
      <c r="FC77" s="4">
        <v>115</v>
      </c>
      <c r="FD77" s="4">
        <v>100</v>
      </c>
      <c r="FE77" s="4">
        <v>100</v>
      </c>
      <c r="FF77" s="4">
        <v>111</v>
      </c>
      <c r="FG77" s="4">
        <v>111</v>
      </c>
      <c r="FH77" s="4">
        <v>115</v>
      </c>
      <c r="FI77" s="4">
        <v>72</v>
      </c>
      <c r="FJ77" s="4">
        <v>115</v>
      </c>
      <c r="FK77" s="4">
        <v>115</v>
      </c>
      <c r="FL77" s="4">
        <v>114</v>
      </c>
      <c r="FM77" s="4">
        <v>115</v>
      </c>
      <c r="FN77" s="4">
        <v>113</v>
      </c>
      <c r="FO77" s="4">
        <v>114</v>
      </c>
      <c r="FP77" s="4">
        <v>99</v>
      </c>
      <c r="FQ77" s="4">
        <v>115</v>
      </c>
      <c r="FR77" s="4">
        <v>115</v>
      </c>
      <c r="FS77" s="4">
        <v>107</v>
      </c>
      <c r="FT77" s="4">
        <v>115</v>
      </c>
      <c r="FU77" s="4">
        <v>115</v>
      </c>
      <c r="FV77" s="4">
        <v>115</v>
      </c>
      <c r="FW77" s="4">
        <v>115</v>
      </c>
      <c r="FX77" s="4">
        <v>115</v>
      </c>
      <c r="FY77" s="4">
        <v>115</v>
      </c>
      <c r="FZ77" s="4">
        <v>115</v>
      </c>
      <c r="GA77" s="4">
        <v>115</v>
      </c>
      <c r="GB77" s="4">
        <v>115</v>
      </c>
      <c r="GC77" s="4">
        <v>115</v>
      </c>
      <c r="GD77" s="4">
        <v>115</v>
      </c>
      <c r="GE77" s="4">
        <v>115</v>
      </c>
      <c r="GF77" s="4">
        <v>115</v>
      </c>
      <c r="GG77" s="4">
        <v>100</v>
      </c>
      <c r="GH77" s="4">
        <v>100</v>
      </c>
      <c r="GJ77" s="4">
        <v>63</v>
      </c>
      <c r="GK77" s="4">
        <v>2</v>
      </c>
      <c r="GL77" s="4">
        <v>25</v>
      </c>
      <c r="GM77" s="4">
        <f>LOOKUP(GN76,GP75:GQ145)</f>
        <v>0</v>
      </c>
      <c r="GN77" s="4" t="s">
        <v>81</v>
      </c>
      <c r="GP77" s="4">
        <v>2</v>
      </c>
      <c r="GQ77" s="4">
        <v>1</v>
      </c>
      <c r="GT77" s="4">
        <v>-60</v>
      </c>
      <c r="GU77" s="4">
        <v>-6</v>
      </c>
      <c r="HC77" s="4">
        <v>3</v>
      </c>
      <c r="HD77" s="4">
        <f t="shared" si="4"/>
        <v>0</v>
      </c>
      <c r="HH77" s="66"/>
      <c r="HI77" s="66"/>
      <c r="HJ77" s="66"/>
      <c r="HK77" s="66"/>
      <c r="IT77" s="4">
        <v>7</v>
      </c>
      <c r="IU77" s="4" t="s">
        <v>61</v>
      </c>
    </row>
    <row r="78" spans="1:255" x14ac:dyDescent="0.25">
      <c r="A78" s="4" t="s">
        <v>82</v>
      </c>
      <c r="E78" s="4">
        <f>SUM(C46*2+C49*2+C50*2+C56*2+B59*2+B62*3+C64*2+E44*2+E55*3+E57*2+E60*2+F61*2+J42+I43+I48*2+I49*3+I50+I59*2+I64*2+L42*3+L43*2+M50+L58*3+M59*2+M62+M65)</f>
        <v>21</v>
      </c>
      <c r="F78" s="4">
        <f>SUM(O45*2+O52*2+P57+O58*3+O61+S48*2+R51+R59*2+R64*3+R65*2+R66+X43+X46*3)</f>
        <v>3</v>
      </c>
      <c r="I78" s="28" t="s">
        <v>83</v>
      </c>
      <c r="J78" s="29"/>
      <c r="K78" s="6"/>
      <c r="L78" s="6"/>
      <c r="M78" s="6"/>
      <c r="N78" s="2">
        <f t="shared" si="0"/>
        <v>27</v>
      </c>
      <c r="O78" s="2">
        <f>LOOKUP(O104,FE109:FE112,FK109:FK112)</f>
        <v>56</v>
      </c>
      <c r="P78" s="6"/>
      <c r="Q78" s="2">
        <f>O78+Q102</f>
        <v>56</v>
      </c>
      <c r="R78" s="2"/>
      <c r="S78" s="2">
        <f t="shared" si="5"/>
        <v>0</v>
      </c>
      <c r="T78" s="2">
        <f t="shared" si="6"/>
        <v>0</v>
      </c>
      <c r="U78" s="2">
        <f t="shared" si="2"/>
        <v>0</v>
      </c>
      <c r="V78" s="2">
        <f t="shared" si="1"/>
        <v>56</v>
      </c>
      <c r="W78" s="2"/>
      <c r="X78" s="2">
        <f t="shared" si="7"/>
        <v>56</v>
      </c>
      <c r="Y78" s="2"/>
      <c r="Z78" s="2"/>
      <c r="AA78" s="2"/>
      <c r="AB78" s="2"/>
      <c r="AC78" s="2"/>
      <c r="AD78" s="2">
        <f t="shared" si="8"/>
        <v>56</v>
      </c>
      <c r="AE78" s="2"/>
      <c r="AF78" s="2"/>
      <c r="AG78" s="2"/>
      <c r="AH78" s="2"/>
      <c r="AI78" s="2"/>
      <c r="AJ78" s="2"/>
      <c r="AK78" s="2"/>
      <c r="AL78" s="47"/>
      <c r="AM78" s="47"/>
      <c r="AN78" s="47"/>
      <c r="AO78" s="47"/>
      <c r="AP78" s="47"/>
      <c r="AQ78" s="47"/>
      <c r="AR78" s="47"/>
      <c r="AS78" s="47"/>
      <c r="AT78" s="47"/>
      <c r="AU78" s="54">
        <f t="shared" si="3"/>
        <v>56</v>
      </c>
      <c r="AV78" s="56" t="str">
        <f>LOOKUP(AU78,IT70:IU185)</f>
        <v>Indicador nulo</v>
      </c>
      <c r="BC78" s="4" t="s">
        <v>84</v>
      </c>
      <c r="BD78" s="4">
        <f>IF((HD82&gt;HD74)*AND(HD82&gt;HD75)*AND(HD82&gt;HD76)*AND(HD82&gt;HD77)*AND(HD82&gt;HD80)*AND(HD82&gt;HD81)*AND(HD82&gt;HD83)*AND(HD82&gt;HD84),1,0)</f>
        <v>0</v>
      </c>
      <c r="BF78" s="4" t="s">
        <v>30</v>
      </c>
      <c r="BG78" s="4">
        <f>IF((HD84&gt;HD74)*AND(HD84&gt;HD77)*AND(HD84&gt;HD78)*AND(HD84&gt;HD79)*AND(HD84&gt;HD80)*AND(HD84&gt;HD81)*AND(HD84&gt;HD82)*AND(HD84&gt;HD83),1,0)</f>
        <v>0</v>
      </c>
      <c r="BV78" s="4">
        <v>62</v>
      </c>
      <c r="BW78" s="4">
        <v>115</v>
      </c>
      <c r="BX78" s="4">
        <v>115</v>
      </c>
      <c r="BY78" s="4">
        <v>115</v>
      </c>
      <c r="BZ78" s="4">
        <v>99</v>
      </c>
      <c r="CA78" s="4">
        <v>115</v>
      </c>
      <c r="CB78" s="4">
        <v>115</v>
      </c>
      <c r="CC78" s="4">
        <v>112</v>
      </c>
      <c r="CD78" s="4">
        <v>115</v>
      </c>
      <c r="CE78" s="4">
        <v>114</v>
      </c>
      <c r="CF78" s="4">
        <v>115</v>
      </c>
      <c r="CG78" s="4">
        <v>111</v>
      </c>
      <c r="CH78" s="4">
        <v>115</v>
      </c>
      <c r="CI78" s="4">
        <v>115</v>
      </c>
      <c r="CJ78" s="4">
        <v>115</v>
      </c>
      <c r="CK78" s="4">
        <v>115</v>
      </c>
      <c r="CL78" s="4">
        <v>115</v>
      </c>
      <c r="CM78" s="4">
        <v>115</v>
      </c>
      <c r="CN78" s="4">
        <v>115</v>
      </c>
      <c r="CO78" s="4">
        <v>115</v>
      </c>
      <c r="CP78" s="4">
        <v>115</v>
      </c>
      <c r="CQ78" s="4">
        <v>115</v>
      </c>
      <c r="CR78" s="4">
        <v>115</v>
      </c>
      <c r="CS78" s="4">
        <v>115</v>
      </c>
      <c r="CT78" s="4">
        <v>115</v>
      </c>
      <c r="CU78" s="4">
        <v>115</v>
      </c>
      <c r="CV78" s="4">
        <v>115</v>
      </c>
      <c r="CW78" s="4">
        <v>115</v>
      </c>
      <c r="CX78" s="4">
        <v>100</v>
      </c>
      <c r="CY78" s="4">
        <v>100</v>
      </c>
      <c r="CZ78" s="4">
        <v>115</v>
      </c>
      <c r="DA78" s="4">
        <v>115</v>
      </c>
      <c r="DB78" s="4">
        <v>115</v>
      </c>
      <c r="DC78" s="4">
        <v>97</v>
      </c>
      <c r="DD78" s="4">
        <v>115</v>
      </c>
      <c r="DE78" s="4">
        <v>115</v>
      </c>
      <c r="DF78" s="4">
        <v>115</v>
      </c>
      <c r="DG78" s="4">
        <v>115</v>
      </c>
      <c r="DH78" s="4">
        <v>113</v>
      </c>
      <c r="DI78" s="4">
        <v>115</v>
      </c>
      <c r="DJ78" s="4">
        <v>112</v>
      </c>
      <c r="DK78" s="4">
        <v>115</v>
      </c>
      <c r="DL78" s="4">
        <v>115</v>
      </c>
      <c r="DM78" s="4">
        <v>113</v>
      </c>
      <c r="DN78" s="4">
        <v>115</v>
      </c>
      <c r="DO78" s="4">
        <v>115</v>
      </c>
      <c r="DP78" s="4">
        <v>115</v>
      </c>
      <c r="DQ78" s="4">
        <v>115</v>
      </c>
      <c r="DR78" s="4">
        <v>115</v>
      </c>
      <c r="DS78" s="4">
        <v>115</v>
      </c>
      <c r="DT78" s="4">
        <v>115</v>
      </c>
      <c r="DU78" s="4">
        <v>115</v>
      </c>
      <c r="DV78" s="4">
        <v>115</v>
      </c>
      <c r="DW78" s="4">
        <v>115</v>
      </c>
      <c r="DX78" s="4">
        <v>115</v>
      </c>
      <c r="DY78" s="4">
        <v>115</v>
      </c>
      <c r="DZ78" s="4">
        <v>115</v>
      </c>
      <c r="EA78" s="4">
        <v>100</v>
      </c>
      <c r="EB78" s="4">
        <v>100</v>
      </c>
      <c r="EC78" s="4">
        <v>115</v>
      </c>
      <c r="ED78" s="4">
        <v>115</v>
      </c>
      <c r="EE78" s="4">
        <v>115</v>
      </c>
      <c r="EF78" s="4">
        <v>82</v>
      </c>
      <c r="EG78" s="4">
        <v>115</v>
      </c>
      <c r="EH78" s="4">
        <v>115</v>
      </c>
      <c r="EI78" s="4">
        <v>113</v>
      </c>
      <c r="EJ78" s="4">
        <v>115</v>
      </c>
      <c r="EK78" s="4">
        <v>112</v>
      </c>
      <c r="EL78" s="4">
        <v>115</v>
      </c>
      <c r="EM78" s="4">
        <v>105</v>
      </c>
      <c r="EN78" s="4">
        <v>115</v>
      </c>
      <c r="EO78" s="4">
        <v>115</v>
      </c>
      <c r="EP78" s="4">
        <v>112</v>
      </c>
      <c r="EQ78" s="4">
        <v>115</v>
      </c>
      <c r="ER78" s="4">
        <v>115</v>
      </c>
      <c r="ES78" s="4">
        <v>115</v>
      </c>
      <c r="ET78" s="4">
        <v>115</v>
      </c>
      <c r="EU78" s="4">
        <v>115</v>
      </c>
      <c r="EV78" s="4">
        <v>115</v>
      </c>
      <c r="EW78" s="4">
        <v>115</v>
      </c>
      <c r="EX78" s="4">
        <v>115</v>
      </c>
      <c r="EY78" s="4">
        <v>115</v>
      </c>
      <c r="EZ78" s="4">
        <v>115</v>
      </c>
      <c r="FA78" s="4">
        <v>115</v>
      </c>
      <c r="FB78" s="4">
        <v>115</v>
      </c>
      <c r="FC78" s="4">
        <v>115</v>
      </c>
      <c r="FD78" s="4">
        <v>100</v>
      </c>
      <c r="FE78" s="4">
        <v>100</v>
      </c>
      <c r="FF78" s="4">
        <v>113</v>
      </c>
      <c r="FG78" s="4">
        <v>113</v>
      </c>
      <c r="FH78" s="4">
        <v>115</v>
      </c>
      <c r="FI78" s="4">
        <v>73</v>
      </c>
      <c r="FJ78" s="4">
        <v>115</v>
      </c>
      <c r="FK78" s="4">
        <v>115</v>
      </c>
      <c r="FL78" s="4">
        <v>114</v>
      </c>
      <c r="FM78" s="4">
        <v>115</v>
      </c>
      <c r="FN78" s="4">
        <v>114</v>
      </c>
      <c r="FO78" s="4">
        <v>115</v>
      </c>
      <c r="FP78" s="4">
        <v>99</v>
      </c>
      <c r="FQ78" s="4">
        <v>115</v>
      </c>
      <c r="FR78" s="4">
        <v>115</v>
      </c>
      <c r="FS78" s="4">
        <v>111</v>
      </c>
      <c r="FT78" s="4">
        <v>115</v>
      </c>
      <c r="FU78" s="4">
        <v>115</v>
      </c>
      <c r="FV78" s="4">
        <v>115</v>
      </c>
      <c r="FW78" s="4">
        <v>115</v>
      </c>
      <c r="FX78" s="4">
        <v>115</v>
      </c>
      <c r="FY78" s="4">
        <v>115</v>
      </c>
      <c r="FZ78" s="4">
        <v>115</v>
      </c>
      <c r="GA78" s="4">
        <v>115</v>
      </c>
      <c r="GB78" s="4">
        <v>115</v>
      </c>
      <c r="GC78" s="4">
        <v>115</v>
      </c>
      <c r="GD78" s="4">
        <v>115</v>
      </c>
      <c r="GE78" s="4">
        <v>115</v>
      </c>
      <c r="GF78" s="4">
        <v>115</v>
      </c>
      <c r="GG78" s="4">
        <v>100</v>
      </c>
      <c r="GH78" s="4">
        <v>100</v>
      </c>
      <c r="GJ78" s="4">
        <v>64</v>
      </c>
      <c r="GK78" s="4">
        <v>2</v>
      </c>
      <c r="GL78" s="4">
        <v>25</v>
      </c>
      <c r="GP78" s="4">
        <v>3</v>
      </c>
      <c r="GQ78" s="4">
        <v>2</v>
      </c>
      <c r="GT78" s="4">
        <v>-59</v>
      </c>
      <c r="GU78" s="4">
        <v>-6</v>
      </c>
      <c r="HC78" s="4">
        <v>4</v>
      </c>
      <c r="HD78" s="4">
        <f t="shared" si="4"/>
        <v>0</v>
      </c>
      <c r="HH78" s="66"/>
      <c r="HI78" s="66"/>
      <c r="HJ78" s="66"/>
      <c r="HK78" s="66"/>
      <c r="IT78" s="4">
        <v>8</v>
      </c>
      <c r="IU78" s="4" t="s">
        <v>61</v>
      </c>
    </row>
    <row r="79" spans="1:255" x14ac:dyDescent="0.25">
      <c r="A79" s="4" t="s">
        <v>85</v>
      </c>
      <c r="E79" s="4">
        <f>SUM(C46*2+C50+B59+B62*2+E44*3+E57*3+F66+I43*2+I51*2+J62+I65+L44*3+M47*2+L63*3+O45*2+O58*2+R44*3+R55*3+R64*2+R65*2+X43+X48*3)</f>
        <v>7</v>
      </c>
      <c r="I79" s="28" t="s">
        <v>86</v>
      </c>
      <c r="J79" s="29"/>
      <c r="K79" s="6"/>
      <c r="L79" s="6"/>
      <c r="M79" s="6"/>
      <c r="N79" s="2">
        <f t="shared" si="0"/>
        <v>24</v>
      </c>
      <c r="O79" s="2">
        <f>LOOKUP(O104,FE109:FE112,FL109:FL112)</f>
        <v>49</v>
      </c>
      <c r="P79" s="6"/>
      <c r="Q79" s="2">
        <f>O79+Q102</f>
        <v>49</v>
      </c>
      <c r="R79" s="2"/>
      <c r="S79" s="2">
        <f t="shared" si="5"/>
        <v>0</v>
      </c>
      <c r="T79" s="2">
        <f t="shared" si="6"/>
        <v>0</v>
      </c>
      <c r="U79" s="2">
        <f t="shared" si="2"/>
        <v>0</v>
      </c>
      <c r="V79" s="2">
        <f t="shared" ref="V79:V84" si="9">IF((Q79&lt;116)*AND(Q79&gt;-1),Q79,BT93)</f>
        <v>49</v>
      </c>
      <c r="W79" s="2"/>
      <c r="X79" s="2">
        <f t="shared" si="7"/>
        <v>49</v>
      </c>
      <c r="Y79" s="2"/>
      <c r="Z79" s="2"/>
      <c r="AA79" s="2"/>
      <c r="AB79" s="2"/>
      <c r="AC79" s="2"/>
      <c r="AD79" s="2">
        <f t="shared" si="8"/>
        <v>49</v>
      </c>
      <c r="AE79" s="2"/>
      <c r="AF79" s="2"/>
      <c r="AG79" s="2"/>
      <c r="AH79" s="2"/>
      <c r="AI79" s="2"/>
      <c r="AJ79" s="2"/>
      <c r="AK79" s="2"/>
      <c r="AL79" s="47"/>
      <c r="AM79" s="47"/>
      <c r="AN79" s="47"/>
      <c r="AO79" s="47"/>
      <c r="AP79" s="47"/>
      <c r="AQ79" s="47"/>
      <c r="AR79" s="47"/>
      <c r="AS79" s="47"/>
      <c r="AT79" s="47"/>
      <c r="AU79" s="54">
        <f t="shared" si="3"/>
        <v>49</v>
      </c>
      <c r="AV79" s="56" t="str">
        <f>LOOKUP(AU79,IT70:IU185)</f>
        <v>Indicador nulo</v>
      </c>
      <c r="BD79" s="4">
        <f>SUM(BD76:BD78)</f>
        <v>0</v>
      </c>
      <c r="BG79" s="4">
        <f>SUM(BG76:BG78)</f>
        <v>0</v>
      </c>
      <c r="BV79" s="4">
        <v>63</v>
      </c>
      <c r="BW79" s="4">
        <v>115</v>
      </c>
      <c r="BX79" s="4">
        <v>115</v>
      </c>
      <c r="BY79" s="4">
        <v>115</v>
      </c>
      <c r="BZ79" s="4">
        <v>100</v>
      </c>
      <c r="CA79" s="4">
        <v>115</v>
      </c>
      <c r="CB79" s="4">
        <v>115</v>
      </c>
      <c r="CC79" s="4">
        <v>113</v>
      </c>
      <c r="CD79" s="4">
        <v>115</v>
      </c>
      <c r="CE79" s="4">
        <v>115</v>
      </c>
      <c r="CF79" s="4">
        <v>115</v>
      </c>
      <c r="CG79" s="4">
        <v>111</v>
      </c>
      <c r="CH79" s="4">
        <v>115</v>
      </c>
      <c r="CI79" s="4">
        <v>115</v>
      </c>
      <c r="CJ79" s="4">
        <v>115</v>
      </c>
      <c r="CK79" s="4">
        <v>115</v>
      </c>
      <c r="CL79" s="4">
        <v>115</v>
      </c>
      <c r="CM79" s="4">
        <v>115</v>
      </c>
      <c r="CN79" s="4">
        <v>115</v>
      </c>
      <c r="CO79" s="4">
        <v>115</v>
      </c>
      <c r="CP79" s="4">
        <v>115</v>
      </c>
      <c r="CQ79" s="4">
        <v>115</v>
      </c>
      <c r="CR79" s="4">
        <v>115</v>
      </c>
      <c r="CS79" s="4">
        <v>115</v>
      </c>
      <c r="CT79" s="4">
        <v>115</v>
      </c>
      <c r="CU79" s="4">
        <v>115</v>
      </c>
      <c r="CV79" s="4">
        <v>115</v>
      </c>
      <c r="CW79" s="4">
        <v>115</v>
      </c>
      <c r="CX79" s="4">
        <v>100</v>
      </c>
      <c r="CY79" s="4">
        <v>100</v>
      </c>
      <c r="CZ79" s="4">
        <v>115</v>
      </c>
      <c r="DA79" s="4">
        <v>115</v>
      </c>
      <c r="DB79" s="4">
        <v>115</v>
      </c>
      <c r="DC79" s="4">
        <v>100</v>
      </c>
      <c r="DD79" s="4">
        <v>115</v>
      </c>
      <c r="DE79" s="4">
        <v>115</v>
      </c>
      <c r="DF79" s="4">
        <v>115</v>
      </c>
      <c r="DG79" s="4">
        <v>115</v>
      </c>
      <c r="DH79" s="4">
        <v>115</v>
      </c>
      <c r="DI79" s="4">
        <v>115</v>
      </c>
      <c r="DJ79" s="4">
        <v>112</v>
      </c>
      <c r="DK79" s="4">
        <v>115</v>
      </c>
      <c r="DL79" s="4">
        <v>115</v>
      </c>
      <c r="DM79" s="4">
        <v>113</v>
      </c>
      <c r="DN79" s="4">
        <v>115</v>
      </c>
      <c r="DO79" s="4">
        <v>115</v>
      </c>
      <c r="DP79" s="4">
        <v>115</v>
      </c>
      <c r="DQ79" s="4">
        <v>115</v>
      </c>
      <c r="DR79" s="4">
        <v>115</v>
      </c>
      <c r="DS79" s="4">
        <v>115</v>
      </c>
      <c r="DT79" s="4">
        <v>115</v>
      </c>
      <c r="DU79" s="4">
        <v>115</v>
      </c>
      <c r="DV79" s="4">
        <v>115</v>
      </c>
      <c r="DW79" s="4">
        <v>115</v>
      </c>
      <c r="DX79" s="4">
        <v>115</v>
      </c>
      <c r="DY79" s="4">
        <v>115</v>
      </c>
      <c r="DZ79" s="4">
        <v>115</v>
      </c>
      <c r="EA79" s="4">
        <v>100</v>
      </c>
      <c r="EB79" s="4">
        <v>100</v>
      </c>
      <c r="EC79" s="4">
        <v>115</v>
      </c>
      <c r="ED79" s="4">
        <v>115</v>
      </c>
      <c r="EE79" s="4">
        <v>115</v>
      </c>
      <c r="EF79" s="4">
        <v>85</v>
      </c>
      <c r="EG79" s="4">
        <v>115</v>
      </c>
      <c r="EH79" s="4">
        <v>115</v>
      </c>
      <c r="EI79" s="4">
        <v>113</v>
      </c>
      <c r="EJ79" s="4">
        <v>115</v>
      </c>
      <c r="EK79" s="4">
        <v>114</v>
      </c>
      <c r="EL79" s="4">
        <v>115</v>
      </c>
      <c r="EM79" s="4">
        <v>108</v>
      </c>
      <c r="EN79" s="4">
        <v>115</v>
      </c>
      <c r="EO79" s="4">
        <v>115</v>
      </c>
      <c r="EP79" s="4">
        <v>112</v>
      </c>
      <c r="EQ79" s="4">
        <v>115</v>
      </c>
      <c r="ER79" s="4">
        <v>115</v>
      </c>
      <c r="ES79" s="4">
        <v>115</v>
      </c>
      <c r="ET79" s="4">
        <v>115</v>
      </c>
      <c r="EU79" s="4">
        <v>115</v>
      </c>
      <c r="EV79" s="4">
        <v>115</v>
      </c>
      <c r="EW79" s="4">
        <v>115</v>
      </c>
      <c r="EX79" s="4">
        <v>115</v>
      </c>
      <c r="EY79" s="4">
        <v>115</v>
      </c>
      <c r="EZ79" s="4">
        <v>115</v>
      </c>
      <c r="FA79" s="4">
        <v>115</v>
      </c>
      <c r="FB79" s="4">
        <v>115</v>
      </c>
      <c r="FC79" s="4">
        <v>115</v>
      </c>
      <c r="FD79" s="4">
        <v>100</v>
      </c>
      <c r="FE79" s="4">
        <v>100</v>
      </c>
      <c r="FF79" s="4">
        <v>113</v>
      </c>
      <c r="FG79" s="4">
        <v>113</v>
      </c>
      <c r="FH79" s="4">
        <v>115</v>
      </c>
      <c r="FI79" s="4">
        <v>74</v>
      </c>
      <c r="FJ79" s="4">
        <v>115</v>
      </c>
      <c r="FK79" s="4">
        <v>115</v>
      </c>
      <c r="FL79" s="4">
        <v>114</v>
      </c>
      <c r="FM79" s="4">
        <v>115</v>
      </c>
      <c r="FN79" s="4">
        <v>114</v>
      </c>
      <c r="FO79" s="4">
        <v>115</v>
      </c>
      <c r="FP79" s="4">
        <v>101</v>
      </c>
      <c r="FQ79" s="4">
        <v>115</v>
      </c>
      <c r="FR79" s="4">
        <v>115</v>
      </c>
      <c r="FS79" s="4">
        <v>113</v>
      </c>
      <c r="FT79" s="4">
        <v>115</v>
      </c>
      <c r="FU79" s="4">
        <v>115</v>
      </c>
      <c r="FV79" s="4">
        <v>115</v>
      </c>
      <c r="FW79" s="4">
        <v>115</v>
      </c>
      <c r="FX79" s="4">
        <v>115</v>
      </c>
      <c r="FY79" s="4">
        <v>115</v>
      </c>
      <c r="FZ79" s="4">
        <v>115</v>
      </c>
      <c r="GA79" s="4">
        <v>115</v>
      </c>
      <c r="GB79" s="4">
        <v>115</v>
      </c>
      <c r="GC79" s="4">
        <v>115</v>
      </c>
      <c r="GD79" s="4">
        <v>115</v>
      </c>
      <c r="GE79" s="4">
        <v>115</v>
      </c>
      <c r="GF79" s="4">
        <v>115</v>
      </c>
      <c r="GG79" s="4">
        <v>100</v>
      </c>
      <c r="GH79" s="4">
        <v>100</v>
      </c>
      <c r="GJ79" s="4">
        <v>65</v>
      </c>
      <c r="GK79" s="4">
        <v>2</v>
      </c>
      <c r="GL79" s="4">
        <v>25</v>
      </c>
      <c r="GM79" s="4" t="s">
        <v>87</v>
      </c>
      <c r="GN79" s="4">
        <f>O71-O72</f>
        <v>7</v>
      </c>
      <c r="GO79" s="4">
        <f>ABS(GN79)</f>
        <v>7</v>
      </c>
      <c r="GP79" s="4">
        <v>4</v>
      </c>
      <c r="GQ79" s="4">
        <v>3</v>
      </c>
      <c r="GT79" s="4">
        <v>-58</v>
      </c>
      <c r="GU79" s="4">
        <v>-6</v>
      </c>
      <c r="HC79" s="4">
        <v>5</v>
      </c>
      <c r="HD79" s="4">
        <f t="shared" si="4"/>
        <v>0</v>
      </c>
      <c r="HH79" s="66"/>
      <c r="HI79" s="66"/>
      <c r="HJ79" s="66"/>
      <c r="HK79" s="66"/>
      <c r="IT79" s="4">
        <v>9</v>
      </c>
      <c r="IU79" s="4" t="s">
        <v>61</v>
      </c>
    </row>
    <row r="80" spans="1:255" x14ac:dyDescent="0.25">
      <c r="A80" s="4" t="s">
        <v>88</v>
      </c>
      <c r="E80" s="4">
        <f>SUM(C45+B47+B50*3+B56*2+C59*2+C60+C62*2+B64*3+E43+F44+F50+F58*2+F59+E66*3+J44*2+J49+J64*2+J65*2+M42+M44+M56+L59*3+L62*3+M63)</f>
        <v>29</v>
      </c>
      <c r="F80" s="4">
        <f>SUM(M66+P45+P48*2+P51+P58*2+P59+R46*3+S49+R61*2+S64+S65+S66*2+Y45*2+Y48+X50*3)</f>
        <v>17</v>
      </c>
      <c r="I80" s="28" t="s">
        <v>89</v>
      </c>
      <c r="J80" s="29"/>
      <c r="K80" s="6"/>
      <c r="L80" s="6"/>
      <c r="M80" s="6"/>
      <c r="N80" s="2">
        <f t="shared" si="0"/>
        <v>7</v>
      </c>
      <c r="O80" s="2">
        <f>LOOKUP(O104,FE109:FE112,FM109:FM112)</f>
        <v>45</v>
      </c>
      <c r="P80" s="6"/>
      <c r="Q80" s="2">
        <f>O80+Q102</f>
        <v>45</v>
      </c>
      <c r="R80" s="2"/>
      <c r="S80" s="2">
        <f t="shared" si="5"/>
        <v>0</v>
      </c>
      <c r="T80" s="2">
        <f t="shared" si="6"/>
        <v>0</v>
      </c>
      <c r="U80" s="2">
        <f t="shared" si="2"/>
        <v>0</v>
      </c>
      <c r="V80" s="2">
        <f t="shared" si="9"/>
        <v>45</v>
      </c>
      <c r="W80" s="2"/>
      <c r="X80" s="2">
        <f t="shared" si="7"/>
        <v>45</v>
      </c>
      <c r="Y80" s="2"/>
      <c r="Z80" s="2"/>
      <c r="AA80" s="2"/>
      <c r="AB80" s="2"/>
      <c r="AC80" s="2"/>
      <c r="AD80" s="2">
        <f t="shared" si="8"/>
        <v>45</v>
      </c>
      <c r="AE80" s="2"/>
      <c r="AF80" s="2"/>
      <c r="AG80" s="2"/>
      <c r="AH80" s="2"/>
      <c r="AI80" s="2"/>
      <c r="AJ80" s="2"/>
      <c r="AK80" s="2"/>
      <c r="AL80" s="47"/>
      <c r="AM80" s="47"/>
      <c r="AN80" s="47"/>
      <c r="AO80" s="47"/>
      <c r="AP80" s="47"/>
      <c r="AQ80" s="47"/>
      <c r="AR80" s="47"/>
      <c r="AS80" s="47"/>
      <c r="AT80" s="47"/>
      <c r="AU80" s="54">
        <f t="shared" si="3"/>
        <v>45</v>
      </c>
      <c r="AV80" s="56" t="str">
        <f>LOOKUP(AU80,IT70:IU185)</f>
        <v>Indicador nulo</v>
      </c>
      <c r="BV80" s="4">
        <v>64</v>
      </c>
      <c r="BW80" s="4">
        <v>115</v>
      </c>
      <c r="BX80" s="4">
        <v>115</v>
      </c>
      <c r="BY80" s="4">
        <v>115</v>
      </c>
      <c r="BZ80" s="4">
        <v>106</v>
      </c>
      <c r="CA80" s="4">
        <v>115</v>
      </c>
      <c r="CB80" s="4">
        <v>115</v>
      </c>
      <c r="CC80" s="4">
        <v>113</v>
      </c>
      <c r="CD80" s="4">
        <v>115</v>
      </c>
      <c r="CE80" s="4">
        <v>115</v>
      </c>
      <c r="CF80" s="4">
        <v>115</v>
      </c>
      <c r="CG80" s="4">
        <v>113</v>
      </c>
      <c r="CH80" s="4">
        <v>115</v>
      </c>
      <c r="CI80" s="4">
        <v>115</v>
      </c>
      <c r="CJ80" s="4">
        <v>115</v>
      </c>
      <c r="CK80" s="4">
        <v>115</v>
      </c>
      <c r="CL80" s="4">
        <v>115</v>
      </c>
      <c r="CM80" s="4">
        <v>115</v>
      </c>
      <c r="CN80" s="4">
        <v>115</v>
      </c>
      <c r="CO80" s="4">
        <v>115</v>
      </c>
      <c r="CP80" s="4">
        <v>115</v>
      </c>
      <c r="CQ80" s="4">
        <v>115</v>
      </c>
      <c r="CR80" s="4">
        <v>115</v>
      </c>
      <c r="CS80" s="4">
        <v>115</v>
      </c>
      <c r="CT80" s="4">
        <v>115</v>
      </c>
      <c r="CU80" s="4">
        <v>115</v>
      </c>
      <c r="CV80" s="4">
        <v>115</v>
      </c>
      <c r="CW80" s="4">
        <v>115</v>
      </c>
      <c r="CX80" s="4">
        <v>100</v>
      </c>
      <c r="CY80" s="4">
        <v>100</v>
      </c>
      <c r="CZ80" s="4">
        <v>115</v>
      </c>
      <c r="DA80" s="4">
        <v>115</v>
      </c>
      <c r="DB80" s="4">
        <v>115</v>
      </c>
      <c r="DC80" s="4">
        <v>103</v>
      </c>
      <c r="DD80" s="4">
        <v>115</v>
      </c>
      <c r="DE80" s="4">
        <v>115</v>
      </c>
      <c r="DF80" s="4">
        <v>115</v>
      </c>
      <c r="DG80" s="4">
        <v>115</v>
      </c>
      <c r="DH80" s="4">
        <v>115</v>
      </c>
      <c r="DI80" s="4">
        <v>115</v>
      </c>
      <c r="DJ80" s="4">
        <v>115</v>
      </c>
      <c r="DK80" s="4">
        <v>115</v>
      </c>
      <c r="DL80" s="4">
        <v>115</v>
      </c>
      <c r="DM80" s="4">
        <v>115</v>
      </c>
      <c r="DN80" s="4">
        <v>115</v>
      </c>
      <c r="DO80" s="4">
        <v>115</v>
      </c>
      <c r="DP80" s="4">
        <v>115</v>
      </c>
      <c r="DQ80" s="4">
        <v>115</v>
      </c>
      <c r="DR80" s="4">
        <v>115</v>
      </c>
      <c r="DS80" s="4">
        <v>115</v>
      </c>
      <c r="DT80" s="4">
        <v>115</v>
      </c>
      <c r="DU80" s="4">
        <v>115</v>
      </c>
      <c r="DV80" s="4">
        <v>115</v>
      </c>
      <c r="DW80" s="4">
        <v>115</v>
      </c>
      <c r="DX80" s="4">
        <v>115</v>
      </c>
      <c r="DY80" s="4">
        <v>115</v>
      </c>
      <c r="DZ80" s="4">
        <v>115</v>
      </c>
      <c r="EA80" s="4">
        <v>100</v>
      </c>
      <c r="EB80" s="4">
        <v>100</v>
      </c>
      <c r="EC80" s="4">
        <v>115</v>
      </c>
      <c r="ED80" s="4">
        <v>115</v>
      </c>
      <c r="EE80" s="4">
        <v>115</v>
      </c>
      <c r="EF80" s="4">
        <v>94</v>
      </c>
      <c r="EG80" s="4">
        <v>115</v>
      </c>
      <c r="EH80" s="4">
        <v>115</v>
      </c>
      <c r="EI80" s="4">
        <v>113</v>
      </c>
      <c r="EJ80" s="4">
        <v>115</v>
      </c>
      <c r="EK80" s="4">
        <v>115</v>
      </c>
      <c r="EL80" s="4">
        <v>115</v>
      </c>
      <c r="EM80" s="4">
        <v>108</v>
      </c>
      <c r="EN80" s="4">
        <v>115</v>
      </c>
      <c r="EO80" s="4">
        <v>115</v>
      </c>
      <c r="EP80" s="4">
        <v>113</v>
      </c>
      <c r="EQ80" s="4">
        <v>115</v>
      </c>
      <c r="ER80" s="4">
        <v>115</v>
      </c>
      <c r="ES80" s="4">
        <v>115</v>
      </c>
      <c r="ET80" s="4">
        <v>115</v>
      </c>
      <c r="EU80" s="4">
        <v>115</v>
      </c>
      <c r="EV80" s="4">
        <v>115</v>
      </c>
      <c r="EW80" s="4">
        <v>115</v>
      </c>
      <c r="EX80" s="4">
        <v>115</v>
      </c>
      <c r="EY80" s="4">
        <v>115</v>
      </c>
      <c r="EZ80" s="4">
        <v>115</v>
      </c>
      <c r="FA80" s="4">
        <v>115</v>
      </c>
      <c r="FB80" s="4">
        <v>115</v>
      </c>
      <c r="FC80" s="4">
        <v>115</v>
      </c>
      <c r="FD80" s="4">
        <v>100</v>
      </c>
      <c r="FE80" s="4">
        <v>100</v>
      </c>
      <c r="FF80" s="4">
        <v>113</v>
      </c>
      <c r="FG80" s="4">
        <v>114</v>
      </c>
      <c r="FH80" s="4">
        <v>115</v>
      </c>
      <c r="FI80" s="4">
        <v>75</v>
      </c>
      <c r="FJ80" s="4">
        <v>115</v>
      </c>
      <c r="FK80" s="4">
        <v>115</v>
      </c>
      <c r="FL80" s="4">
        <v>114</v>
      </c>
      <c r="FM80" s="4">
        <v>115</v>
      </c>
      <c r="FN80" s="4">
        <v>115</v>
      </c>
      <c r="FO80" s="4">
        <v>115</v>
      </c>
      <c r="FP80" s="4">
        <v>103</v>
      </c>
      <c r="FQ80" s="4">
        <v>115</v>
      </c>
      <c r="FR80" s="4">
        <v>115</v>
      </c>
      <c r="FS80" s="4">
        <v>113</v>
      </c>
      <c r="FT80" s="4">
        <v>115</v>
      </c>
      <c r="FU80" s="4">
        <v>115</v>
      </c>
      <c r="FV80" s="4">
        <v>115</v>
      </c>
      <c r="FW80" s="4">
        <v>115</v>
      </c>
      <c r="FX80" s="4">
        <v>115</v>
      </c>
      <c r="FY80" s="4">
        <v>115</v>
      </c>
      <c r="FZ80" s="4">
        <v>115</v>
      </c>
      <c r="GA80" s="4">
        <v>115</v>
      </c>
      <c r="GB80" s="4">
        <v>115</v>
      </c>
      <c r="GC80" s="4">
        <v>115</v>
      </c>
      <c r="GD80" s="4">
        <v>115</v>
      </c>
      <c r="GE80" s="4">
        <v>115</v>
      </c>
      <c r="GF80" s="4">
        <v>115</v>
      </c>
      <c r="GG80" s="4">
        <v>100</v>
      </c>
      <c r="GH80" s="4">
        <v>100</v>
      </c>
      <c r="GJ80" s="4">
        <v>66</v>
      </c>
      <c r="GK80" s="4">
        <v>2</v>
      </c>
      <c r="GL80" s="4">
        <v>25</v>
      </c>
      <c r="GP80" s="4">
        <v>5</v>
      </c>
      <c r="GQ80" s="4">
        <v>4</v>
      </c>
      <c r="GT80" s="4">
        <v>-57</v>
      </c>
      <c r="GU80" s="4">
        <v>-6</v>
      </c>
      <c r="HC80" s="4" t="s">
        <v>27</v>
      </c>
      <c r="HD80" s="4">
        <f t="shared" si="4"/>
        <v>0</v>
      </c>
      <c r="HH80" s="66"/>
      <c r="HI80" s="66"/>
      <c r="HJ80" s="66"/>
      <c r="HK80" s="66"/>
      <c r="IT80" s="4">
        <v>10</v>
      </c>
      <c r="IU80" s="4" t="s">
        <v>61</v>
      </c>
    </row>
    <row r="81" spans="1:255" x14ac:dyDescent="0.25">
      <c r="A81" s="4" t="s">
        <v>90</v>
      </c>
      <c r="E81" s="4">
        <f>SUM(B45*3+C46+B57+B59+B60*2+B63+C64*2+B66*3+E44+E50+E53*2+E55*2+E57+F61+E65+I45*2+I48+I57*2+I58*3+I61+I64*2+L44*2+L54*2+L56+L57*2+L61*2+M62+L63*2)</f>
        <v>15</v>
      </c>
      <c r="F81" s="4">
        <f>SUM(O46+O48*2+O51*3+O58*2+O59*3+R43+R44+S46*2+R50+R52*3+R63*2+R64+R65*2+X48*2+X49)</f>
        <v>8</v>
      </c>
      <c r="I81" s="28" t="s">
        <v>91</v>
      </c>
      <c r="J81" s="29"/>
      <c r="K81" s="6"/>
      <c r="L81" s="6"/>
      <c r="M81" s="6"/>
      <c r="N81" s="2">
        <f t="shared" si="0"/>
        <v>46</v>
      </c>
      <c r="O81" s="2">
        <f>LOOKUP(O104,FE109:FE112,FN109:FN112)</f>
        <v>54</v>
      </c>
      <c r="P81" s="6"/>
      <c r="Q81" s="2">
        <f>O81+Q102</f>
        <v>54</v>
      </c>
      <c r="R81" s="2"/>
      <c r="S81" s="2">
        <f t="shared" si="5"/>
        <v>0</v>
      </c>
      <c r="T81" s="2">
        <f t="shared" si="6"/>
        <v>0</v>
      </c>
      <c r="U81" s="2">
        <f t="shared" si="2"/>
        <v>0</v>
      </c>
      <c r="V81" s="2">
        <f t="shared" si="9"/>
        <v>54</v>
      </c>
      <c r="W81" s="2"/>
      <c r="X81" s="2">
        <f t="shared" si="7"/>
        <v>54</v>
      </c>
      <c r="Y81" s="2"/>
      <c r="Z81" s="2"/>
      <c r="AA81" s="2"/>
      <c r="AB81" s="2"/>
      <c r="AC81" s="2"/>
      <c r="AD81" s="2">
        <f t="shared" si="8"/>
        <v>54</v>
      </c>
      <c r="AE81" s="2"/>
      <c r="AF81" s="2"/>
      <c r="AG81" s="2"/>
      <c r="AH81" s="2"/>
      <c r="AI81" s="2"/>
      <c r="AJ81" s="2"/>
      <c r="AK81" s="2"/>
      <c r="AL81" s="47"/>
      <c r="AM81" s="47"/>
      <c r="AN81" s="47"/>
      <c r="AO81" s="47"/>
      <c r="AP81" s="47"/>
      <c r="AQ81" s="47"/>
      <c r="AR81" s="47"/>
      <c r="AS81" s="47"/>
      <c r="AT81" s="47"/>
      <c r="AU81" s="54">
        <f t="shared" si="3"/>
        <v>54</v>
      </c>
      <c r="AV81" s="56" t="str">
        <f>LOOKUP(AU81,IT70:IU185)</f>
        <v>Indicador nulo</v>
      </c>
      <c r="BE81" s="4">
        <f>IF(BD79&gt;BG79,4,0)</f>
        <v>0</v>
      </c>
      <c r="BV81" s="4">
        <v>65</v>
      </c>
      <c r="BW81" s="4">
        <v>115</v>
      </c>
      <c r="BX81" s="4">
        <v>115</v>
      </c>
      <c r="BY81" s="4">
        <v>115</v>
      </c>
      <c r="BZ81" s="4">
        <v>109</v>
      </c>
      <c r="CA81" s="4">
        <v>115</v>
      </c>
      <c r="CB81" s="4">
        <v>115</v>
      </c>
      <c r="CC81" s="4">
        <v>113</v>
      </c>
      <c r="CD81" s="4">
        <v>115</v>
      </c>
      <c r="CE81" s="4">
        <v>115</v>
      </c>
      <c r="CF81" s="4">
        <v>115</v>
      </c>
      <c r="CG81" s="4">
        <v>115</v>
      </c>
      <c r="CH81" s="4">
        <v>115</v>
      </c>
      <c r="CI81" s="4">
        <v>115</v>
      </c>
      <c r="CJ81" s="4">
        <v>115</v>
      </c>
      <c r="CK81" s="4">
        <v>115</v>
      </c>
      <c r="CL81" s="4">
        <v>115</v>
      </c>
      <c r="CM81" s="4">
        <v>115</v>
      </c>
      <c r="CN81" s="4">
        <v>115</v>
      </c>
      <c r="CO81" s="4">
        <v>115</v>
      </c>
      <c r="CP81" s="4">
        <v>115</v>
      </c>
      <c r="CQ81" s="4">
        <v>115</v>
      </c>
      <c r="CR81" s="4">
        <v>115</v>
      </c>
      <c r="CS81" s="4">
        <v>115</v>
      </c>
      <c r="CT81" s="4">
        <v>115</v>
      </c>
      <c r="CU81" s="4">
        <v>115</v>
      </c>
      <c r="CV81" s="4">
        <v>115</v>
      </c>
      <c r="CW81" s="4">
        <v>115</v>
      </c>
      <c r="CX81" s="4">
        <v>100</v>
      </c>
      <c r="CY81" s="4">
        <v>100</v>
      </c>
      <c r="CZ81" s="4">
        <v>115</v>
      </c>
      <c r="DA81" s="4">
        <v>115</v>
      </c>
      <c r="DB81" s="4">
        <v>115</v>
      </c>
      <c r="DC81" s="4">
        <v>106</v>
      </c>
      <c r="DD81" s="4">
        <v>115</v>
      </c>
      <c r="DE81" s="4">
        <v>115</v>
      </c>
      <c r="DF81" s="4">
        <v>115</v>
      </c>
      <c r="DG81" s="4">
        <v>115</v>
      </c>
      <c r="DH81" s="4">
        <v>115</v>
      </c>
      <c r="DI81" s="4">
        <v>115</v>
      </c>
      <c r="DJ81" s="4">
        <v>115</v>
      </c>
      <c r="DK81" s="4">
        <v>115</v>
      </c>
      <c r="DL81" s="4">
        <v>115</v>
      </c>
      <c r="DM81" s="4">
        <v>115</v>
      </c>
      <c r="DN81" s="4">
        <v>115</v>
      </c>
      <c r="DO81" s="4">
        <v>115</v>
      </c>
      <c r="DP81" s="4">
        <v>115</v>
      </c>
      <c r="DQ81" s="4">
        <v>115</v>
      </c>
      <c r="DR81" s="4">
        <v>115</v>
      </c>
      <c r="DS81" s="4">
        <v>115</v>
      </c>
      <c r="DT81" s="4">
        <v>115</v>
      </c>
      <c r="DU81" s="4">
        <v>115</v>
      </c>
      <c r="DV81" s="4">
        <v>115</v>
      </c>
      <c r="DW81" s="4">
        <v>115</v>
      </c>
      <c r="DX81" s="4">
        <v>115</v>
      </c>
      <c r="DY81" s="4">
        <v>115</v>
      </c>
      <c r="DZ81" s="4">
        <v>115</v>
      </c>
      <c r="EA81" s="4">
        <v>100</v>
      </c>
      <c r="EB81" s="4">
        <v>100</v>
      </c>
      <c r="EC81" s="4">
        <v>115</v>
      </c>
      <c r="ED81" s="4">
        <v>115</v>
      </c>
      <c r="EE81" s="4">
        <v>115</v>
      </c>
      <c r="EF81" s="4">
        <v>98</v>
      </c>
      <c r="EG81" s="4">
        <v>115</v>
      </c>
      <c r="EH81" s="4">
        <v>115</v>
      </c>
      <c r="EI81" s="4">
        <v>114</v>
      </c>
      <c r="EJ81" s="4">
        <v>115</v>
      </c>
      <c r="EK81" s="4">
        <v>115</v>
      </c>
      <c r="EL81" s="4">
        <v>115</v>
      </c>
      <c r="EM81" s="4">
        <v>108</v>
      </c>
      <c r="EN81" s="4">
        <v>115</v>
      </c>
      <c r="EO81" s="4">
        <v>115</v>
      </c>
      <c r="EP81" s="4">
        <v>114</v>
      </c>
      <c r="EQ81" s="4">
        <v>115</v>
      </c>
      <c r="ER81" s="4">
        <v>115</v>
      </c>
      <c r="ES81" s="4">
        <v>115</v>
      </c>
      <c r="ET81" s="4">
        <v>115</v>
      </c>
      <c r="EU81" s="4">
        <v>115</v>
      </c>
      <c r="EV81" s="4">
        <v>115</v>
      </c>
      <c r="EW81" s="4">
        <v>115</v>
      </c>
      <c r="EX81" s="4">
        <v>115</v>
      </c>
      <c r="EY81" s="4">
        <v>115</v>
      </c>
      <c r="EZ81" s="4">
        <v>115</v>
      </c>
      <c r="FA81" s="4">
        <v>115</v>
      </c>
      <c r="FB81" s="4">
        <v>115</v>
      </c>
      <c r="FC81" s="4">
        <v>115</v>
      </c>
      <c r="FD81" s="4">
        <v>100</v>
      </c>
      <c r="FE81" s="4">
        <v>100</v>
      </c>
      <c r="FF81" s="4">
        <v>114</v>
      </c>
      <c r="FG81" s="4">
        <v>115</v>
      </c>
      <c r="FH81" s="4">
        <v>115</v>
      </c>
      <c r="FI81" s="4">
        <v>81</v>
      </c>
      <c r="FJ81" s="4">
        <v>115</v>
      </c>
      <c r="FK81" s="4">
        <v>115</v>
      </c>
      <c r="FL81" s="4">
        <v>115</v>
      </c>
      <c r="FM81" s="4">
        <v>115</v>
      </c>
      <c r="FN81" s="4">
        <v>115</v>
      </c>
      <c r="FO81" s="4">
        <v>115</v>
      </c>
      <c r="FP81" s="4">
        <v>106</v>
      </c>
      <c r="FQ81" s="4">
        <v>115</v>
      </c>
      <c r="FR81" s="4">
        <v>115</v>
      </c>
      <c r="FS81" s="4">
        <v>115</v>
      </c>
      <c r="FT81" s="4">
        <v>115</v>
      </c>
      <c r="FU81" s="4">
        <v>115</v>
      </c>
      <c r="FV81" s="4">
        <v>115</v>
      </c>
      <c r="FW81" s="4">
        <v>115</v>
      </c>
      <c r="FX81" s="4">
        <v>115</v>
      </c>
      <c r="FY81" s="4">
        <v>115</v>
      </c>
      <c r="FZ81" s="4">
        <v>115</v>
      </c>
      <c r="GA81" s="4">
        <v>115</v>
      </c>
      <c r="GB81" s="4">
        <v>115</v>
      </c>
      <c r="GC81" s="4">
        <v>115</v>
      </c>
      <c r="GD81" s="4">
        <v>115</v>
      </c>
      <c r="GE81" s="4">
        <v>115</v>
      </c>
      <c r="GF81" s="4">
        <v>115</v>
      </c>
      <c r="GG81" s="4">
        <v>100</v>
      </c>
      <c r="GH81" s="4">
        <v>100</v>
      </c>
      <c r="GJ81" s="4">
        <v>67</v>
      </c>
      <c r="GK81" s="4">
        <v>2</v>
      </c>
      <c r="GL81" s="4">
        <v>25</v>
      </c>
      <c r="GP81" s="4">
        <v>6</v>
      </c>
      <c r="GQ81" s="4">
        <v>4</v>
      </c>
      <c r="GT81" s="4">
        <v>-56</v>
      </c>
      <c r="GU81" s="4">
        <v>-6</v>
      </c>
      <c r="HC81" s="4" t="s">
        <v>28</v>
      </c>
      <c r="HD81" s="4">
        <f t="shared" si="4"/>
        <v>0</v>
      </c>
      <c r="HH81" s="66"/>
      <c r="HI81" s="66"/>
      <c r="HJ81" s="66"/>
      <c r="HK81" s="66"/>
      <c r="IT81" s="4">
        <v>11</v>
      </c>
      <c r="IU81" s="4" t="s">
        <v>61</v>
      </c>
    </row>
    <row r="82" spans="1:255" x14ac:dyDescent="0.25">
      <c r="A82" s="4" t="s">
        <v>92</v>
      </c>
      <c r="E82" s="4">
        <f>SUM(C43*2+C47+C51+B59+B60*3+B61*2+B66+E42+F43+E49+E50*2+E51+E62*3+I45+I55+I57*3+J59*2+I62+I65+L46*3+L50*2+L54+L55*3+L65*2)</f>
        <v>11</v>
      </c>
      <c r="F82" s="4">
        <f>SUM(O47*2+O48+O49*3+O51*2+O53*2+O59+O62+R43*2+R48+R49+R52+R53*2+R56*2+R57*3+R65+X42*2+X44+X47+X49*2+X51*3)</f>
        <v>8</v>
      </c>
      <c r="I82" s="28" t="s">
        <v>93</v>
      </c>
      <c r="J82" s="29"/>
      <c r="K82" s="6"/>
      <c r="L82" s="6"/>
      <c r="M82" s="6"/>
      <c r="N82" s="2">
        <f t="shared" si="0"/>
        <v>23</v>
      </c>
      <c r="O82" s="2">
        <f>LOOKUP(O104,FE109:FE112,FO109:FO112)</f>
        <v>47</v>
      </c>
      <c r="P82" s="6"/>
      <c r="Q82" s="2">
        <f>O82+Q102</f>
        <v>47</v>
      </c>
      <c r="R82" s="2"/>
      <c r="S82" s="2">
        <f t="shared" si="5"/>
        <v>0</v>
      </c>
      <c r="T82" s="2">
        <f t="shared" si="6"/>
        <v>0</v>
      </c>
      <c r="U82" s="2">
        <f t="shared" si="2"/>
        <v>0</v>
      </c>
      <c r="V82" s="2">
        <f t="shared" si="9"/>
        <v>47</v>
      </c>
      <c r="W82" s="2"/>
      <c r="X82" s="2">
        <f t="shared" si="7"/>
        <v>47</v>
      </c>
      <c r="Y82" s="2"/>
      <c r="Z82" s="2"/>
      <c r="AA82" s="2"/>
      <c r="AB82" s="2"/>
      <c r="AC82" s="2"/>
      <c r="AD82" s="2">
        <f t="shared" si="8"/>
        <v>47</v>
      </c>
      <c r="AE82" s="2"/>
      <c r="AF82" s="2"/>
      <c r="AG82" s="2"/>
      <c r="AH82" s="2"/>
      <c r="AI82" s="2"/>
      <c r="AJ82" s="2"/>
      <c r="AK82" s="2"/>
      <c r="AL82" s="47"/>
      <c r="AM82" s="47"/>
      <c r="AN82" s="47"/>
      <c r="AO82" s="47"/>
      <c r="AP82" s="47"/>
      <c r="AQ82" s="47"/>
      <c r="AR82" s="47"/>
      <c r="AS82" s="47"/>
      <c r="AT82" s="47"/>
      <c r="AU82" s="54">
        <f t="shared" si="3"/>
        <v>47</v>
      </c>
      <c r="AV82" s="56" t="str">
        <f>LOOKUP(AU82,IT70:IU185)</f>
        <v>Indicador nulo</v>
      </c>
      <c r="BE82" s="4">
        <f>IF(BG79&gt;BD79,-4,0)</f>
        <v>0</v>
      </c>
      <c r="BV82" s="4">
        <v>66</v>
      </c>
      <c r="BW82" s="4">
        <v>115</v>
      </c>
      <c r="BX82" s="4">
        <v>115</v>
      </c>
      <c r="BY82" s="4">
        <v>115</v>
      </c>
      <c r="BZ82" s="4">
        <v>112</v>
      </c>
      <c r="CA82" s="4">
        <v>115</v>
      </c>
      <c r="CB82" s="4">
        <v>115</v>
      </c>
      <c r="CC82" s="4">
        <v>115</v>
      </c>
      <c r="CD82" s="4">
        <v>115</v>
      </c>
      <c r="CE82" s="4">
        <v>115</v>
      </c>
      <c r="CF82" s="4">
        <v>115</v>
      </c>
      <c r="CG82" s="4">
        <v>115</v>
      </c>
      <c r="CH82" s="4">
        <v>115</v>
      </c>
      <c r="CI82" s="4">
        <v>115</v>
      </c>
      <c r="CJ82" s="4">
        <v>115</v>
      </c>
      <c r="CK82" s="4">
        <v>115</v>
      </c>
      <c r="CL82" s="4">
        <v>115</v>
      </c>
      <c r="CM82" s="4">
        <v>115</v>
      </c>
      <c r="CN82" s="4">
        <v>115</v>
      </c>
      <c r="CO82" s="4">
        <v>115</v>
      </c>
      <c r="CP82" s="4">
        <v>115</v>
      </c>
      <c r="CQ82" s="4">
        <v>115</v>
      </c>
      <c r="CR82" s="4">
        <v>115</v>
      </c>
      <c r="CS82" s="4">
        <v>115</v>
      </c>
      <c r="CT82" s="4">
        <v>115</v>
      </c>
      <c r="CU82" s="4">
        <v>115</v>
      </c>
      <c r="CV82" s="4">
        <v>115</v>
      </c>
      <c r="CW82" s="4">
        <v>115</v>
      </c>
      <c r="CX82" s="4">
        <v>100</v>
      </c>
      <c r="CY82" s="4">
        <v>100</v>
      </c>
      <c r="CZ82" s="4">
        <v>115</v>
      </c>
      <c r="DA82" s="4">
        <v>115</v>
      </c>
      <c r="DB82" s="4">
        <v>115</v>
      </c>
      <c r="DC82" s="4">
        <v>106</v>
      </c>
      <c r="DD82" s="4">
        <v>115</v>
      </c>
      <c r="DE82" s="4">
        <v>115</v>
      </c>
      <c r="DF82" s="4">
        <v>115</v>
      </c>
      <c r="DG82" s="4">
        <v>115</v>
      </c>
      <c r="DH82" s="4">
        <v>115</v>
      </c>
      <c r="DI82" s="4">
        <v>115</v>
      </c>
      <c r="DJ82" s="4">
        <v>115</v>
      </c>
      <c r="DK82" s="4">
        <v>115</v>
      </c>
      <c r="DL82" s="4">
        <v>115</v>
      </c>
      <c r="DM82" s="4">
        <v>115</v>
      </c>
      <c r="DN82" s="4">
        <v>115</v>
      </c>
      <c r="DO82" s="4">
        <v>115</v>
      </c>
      <c r="DP82" s="4">
        <v>115</v>
      </c>
      <c r="DQ82" s="4">
        <v>115</v>
      </c>
      <c r="DR82" s="4">
        <v>115</v>
      </c>
      <c r="DS82" s="4">
        <v>115</v>
      </c>
      <c r="DT82" s="4">
        <v>115</v>
      </c>
      <c r="DU82" s="4">
        <v>115</v>
      </c>
      <c r="DV82" s="4">
        <v>115</v>
      </c>
      <c r="DW82" s="4">
        <v>115</v>
      </c>
      <c r="DX82" s="4">
        <v>115</v>
      </c>
      <c r="DY82" s="4">
        <v>115</v>
      </c>
      <c r="DZ82" s="4">
        <v>115</v>
      </c>
      <c r="EA82" s="4">
        <v>100</v>
      </c>
      <c r="EB82" s="4">
        <v>100</v>
      </c>
      <c r="EC82" s="4">
        <v>115</v>
      </c>
      <c r="ED82" s="4">
        <v>115</v>
      </c>
      <c r="EE82" s="4">
        <v>115</v>
      </c>
      <c r="EF82" s="4">
        <v>102</v>
      </c>
      <c r="EG82" s="4">
        <v>115</v>
      </c>
      <c r="EH82" s="4">
        <v>115</v>
      </c>
      <c r="EI82" s="4">
        <v>115</v>
      </c>
      <c r="EJ82" s="4">
        <v>115</v>
      </c>
      <c r="EK82" s="4">
        <v>115</v>
      </c>
      <c r="EL82" s="4">
        <v>115</v>
      </c>
      <c r="EM82" s="4">
        <v>110</v>
      </c>
      <c r="EN82" s="4">
        <v>115</v>
      </c>
      <c r="EO82" s="4">
        <v>115</v>
      </c>
      <c r="EP82" s="4">
        <v>115</v>
      </c>
      <c r="EQ82" s="4">
        <v>115</v>
      </c>
      <c r="ER82" s="4">
        <v>115</v>
      </c>
      <c r="ES82" s="4">
        <v>115</v>
      </c>
      <c r="ET82" s="4">
        <v>115</v>
      </c>
      <c r="EU82" s="4">
        <v>115</v>
      </c>
      <c r="EV82" s="4">
        <v>115</v>
      </c>
      <c r="EW82" s="4">
        <v>115</v>
      </c>
      <c r="EX82" s="4">
        <v>115</v>
      </c>
      <c r="EY82" s="4">
        <v>115</v>
      </c>
      <c r="EZ82" s="4">
        <v>115</v>
      </c>
      <c r="FA82" s="4">
        <v>115</v>
      </c>
      <c r="FB82" s="4">
        <v>115</v>
      </c>
      <c r="FC82" s="4">
        <v>115</v>
      </c>
      <c r="FD82" s="4">
        <v>100</v>
      </c>
      <c r="FE82" s="4">
        <v>100</v>
      </c>
      <c r="FF82" s="4">
        <v>114</v>
      </c>
      <c r="FG82" s="4">
        <v>115</v>
      </c>
      <c r="FH82" s="4">
        <v>115</v>
      </c>
      <c r="FI82" s="4">
        <v>85</v>
      </c>
      <c r="FJ82" s="4">
        <v>115</v>
      </c>
      <c r="FK82" s="4">
        <v>115</v>
      </c>
      <c r="FL82" s="4">
        <v>115</v>
      </c>
      <c r="FM82" s="4">
        <v>115</v>
      </c>
      <c r="FN82" s="4">
        <v>115</v>
      </c>
      <c r="FO82" s="4">
        <v>115</v>
      </c>
      <c r="FP82" s="4">
        <v>108</v>
      </c>
      <c r="FQ82" s="4">
        <v>115</v>
      </c>
      <c r="FR82" s="4">
        <v>115</v>
      </c>
      <c r="FS82" s="4">
        <v>115</v>
      </c>
      <c r="FT82" s="4">
        <v>115</v>
      </c>
      <c r="FU82" s="4">
        <v>115</v>
      </c>
      <c r="FV82" s="4">
        <v>115</v>
      </c>
      <c r="FW82" s="4">
        <v>115</v>
      </c>
      <c r="FX82" s="4">
        <v>115</v>
      </c>
      <c r="FY82" s="4">
        <v>115</v>
      </c>
      <c r="FZ82" s="4">
        <v>115</v>
      </c>
      <c r="GA82" s="4">
        <v>115</v>
      </c>
      <c r="GB82" s="4">
        <v>115</v>
      </c>
      <c r="GC82" s="4">
        <v>115</v>
      </c>
      <c r="GD82" s="4">
        <v>115</v>
      </c>
      <c r="GE82" s="4">
        <v>115</v>
      </c>
      <c r="GF82" s="4">
        <v>115</v>
      </c>
      <c r="GG82" s="4">
        <v>100</v>
      </c>
      <c r="GH82" s="4">
        <v>100</v>
      </c>
      <c r="GJ82" s="4">
        <v>68</v>
      </c>
      <c r="GK82" s="4">
        <v>2</v>
      </c>
      <c r="GL82" s="4">
        <v>25</v>
      </c>
      <c r="GN82" s="4">
        <f>LOOKUP(GN79,GT36:GU237)</f>
        <v>1</v>
      </c>
      <c r="GP82" s="4">
        <v>7</v>
      </c>
      <c r="GQ82" s="4">
        <v>5</v>
      </c>
      <c r="GT82" s="4">
        <v>-55</v>
      </c>
      <c r="GU82" s="4">
        <v>-6</v>
      </c>
      <c r="HC82" s="4">
        <v>7</v>
      </c>
      <c r="HD82" s="4">
        <f t="shared" si="4"/>
        <v>0</v>
      </c>
      <c r="HH82" s="66"/>
      <c r="HI82" s="66"/>
      <c r="HJ82" s="66"/>
      <c r="HK82" s="66"/>
      <c r="IT82" s="4">
        <v>12</v>
      </c>
      <c r="IU82" s="4" t="s">
        <v>61</v>
      </c>
    </row>
    <row r="83" spans="1:255" x14ac:dyDescent="0.25">
      <c r="A83" s="4" t="s">
        <v>94</v>
      </c>
      <c r="E83" s="4">
        <f>SUM(C43*2+B45*2+B59*2+E50*2+E60*2+I45*2+I54*2+I55*2+L44+L50*2+L54*2+O45*2+O48*2+O56*2+O58*2+O62+R57*2+S61*2+R65*2+X44*2+X45*2)</f>
        <v>12</v>
      </c>
      <c r="I83" s="34" t="s">
        <v>95</v>
      </c>
      <c r="J83" s="31"/>
      <c r="K83" s="32"/>
      <c r="L83" s="32"/>
      <c r="M83" s="32"/>
      <c r="N83" s="33">
        <f t="shared" si="0"/>
        <v>19</v>
      </c>
      <c r="O83" s="33">
        <f>LOOKUP(O104,FE109:FE112,FP109:FP112)</f>
        <v>38</v>
      </c>
      <c r="P83" s="32"/>
      <c r="Q83" s="33">
        <f>O83+Q102</f>
        <v>38</v>
      </c>
      <c r="R83" s="33"/>
      <c r="S83" s="33">
        <f t="shared" si="5"/>
        <v>0</v>
      </c>
      <c r="T83" s="33">
        <f t="shared" si="6"/>
        <v>0</v>
      </c>
      <c r="U83" s="33">
        <f t="shared" si="2"/>
        <v>0</v>
      </c>
      <c r="V83" s="33">
        <f t="shared" si="9"/>
        <v>38</v>
      </c>
      <c r="W83" s="33"/>
      <c r="X83" s="33">
        <f>V83-GM77</f>
        <v>38</v>
      </c>
      <c r="Y83" s="33"/>
      <c r="Z83" s="33">
        <f>IF(X83&lt;0,1,0)</f>
        <v>0</v>
      </c>
      <c r="AA83" s="33">
        <f>SUM(Z83+AB83)</f>
        <v>0</v>
      </c>
      <c r="AB83" s="33">
        <f>IF(X83&gt;115,2,0)</f>
        <v>0</v>
      </c>
      <c r="AC83" s="33"/>
      <c r="AD83" s="33">
        <f>IF((X83&lt;116)*AND(X83&gt;-1),X83,BN99)</f>
        <v>38</v>
      </c>
      <c r="AE83" s="33"/>
      <c r="AF83" s="33"/>
      <c r="AG83" s="33"/>
      <c r="AH83" s="33"/>
      <c r="AI83" s="33"/>
      <c r="AJ83" s="33"/>
      <c r="AK83" s="33"/>
      <c r="AL83" s="48"/>
      <c r="AM83" s="48"/>
      <c r="AN83" s="48"/>
      <c r="AO83" s="48"/>
      <c r="AP83" s="48"/>
      <c r="AQ83" s="48"/>
      <c r="AR83" s="48"/>
      <c r="AS83" s="48"/>
      <c r="AT83" s="48"/>
      <c r="AU83" s="57">
        <f t="shared" si="3"/>
        <v>38</v>
      </c>
      <c r="AV83" s="58" t="str">
        <f>LOOKUP(AU83,IT70:IU185)</f>
        <v>Indicador nulo</v>
      </c>
      <c r="BE83" s="4">
        <f>SUM(BE81:BE82)</f>
        <v>0</v>
      </c>
      <c r="BV83" s="4">
        <v>67</v>
      </c>
      <c r="BW83" s="4">
        <v>115</v>
      </c>
      <c r="BX83" s="4">
        <v>115</v>
      </c>
      <c r="BY83" s="4">
        <v>115</v>
      </c>
      <c r="BZ83" s="4">
        <v>113</v>
      </c>
      <c r="CA83" s="4">
        <v>115</v>
      </c>
      <c r="CB83" s="4">
        <v>115</v>
      </c>
      <c r="CC83" s="4">
        <v>115</v>
      </c>
      <c r="CD83" s="4">
        <v>115</v>
      </c>
      <c r="CE83" s="4">
        <v>115</v>
      </c>
      <c r="CF83" s="4">
        <v>115</v>
      </c>
      <c r="CG83" s="4">
        <v>115</v>
      </c>
      <c r="CH83" s="4">
        <v>115</v>
      </c>
      <c r="CI83" s="4">
        <v>115</v>
      </c>
      <c r="CJ83" s="4">
        <v>115</v>
      </c>
      <c r="CK83" s="4">
        <v>115</v>
      </c>
      <c r="CL83" s="4">
        <v>115</v>
      </c>
      <c r="CM83" s="4">
        <v>115</v>
      </c>
      <c r="CN83" s="4">
        <v>115</v>
      </c>
      <c r="CO83" s="4">
        <v>115</v>
      </c>
      <c r="CP83" s="4">
        <v>115</v>
      </c>
      <c r="CQ83" s="4">
        <v>115</v>
      </c>
      <c r="CR83" s="4">
        <v>115</v>
      </c>
      <c r="CS83" s="4">
        <v>115</v>
      </c>
      <c r="CT83" s="4">
        <v>115</v>
      </c>
      <c r="CU83" s="4">
        <v>115</v>
      </c>
      <c r="CV83" s="4">
        <v>115</v>
      </c>
      <c r="CW83" s="4">
        <v>115</v>
      </c>
      <c r="CX83" s="4">
        <v>100</v>
      </c>
      <c r="CY83" s="4">
        <v>100</v>
      </c>
      <c r="CZ83" s="4">
        <v>115</v>
      </c>
      <c r="DA83" s="4">
        <v>115</v>
      </c>
      <c r="DB83" s="4">
        <v>115</v>
      </c>
      <c r="DC83" s="4">
        <v>109</v>
      </c>
      <c r="DD83" s="4">
        <v>115</v>
      </c>
      <c r="DE83" s="4">
        <v>115</v>
      </c>
      <c r="DF83" s="4">
        <v>115</v>
      </c>
      <c r="DG83" s="4">
        <v>115</v>
      </c>
      <c r="DH83" s="4">
        <v>115</v>
      </c>
      <c r="DI83" s="4">
        <v>115</v>
      </c>
      <c r="DJ83" s="4">
        <v>115</v>
      </c>
      <c r="DK83" s="4">
        <v>115</v>
      </c>
      <c r="DL83" s="4">
        <v>115</v>
      </c>
      <c r="DM83" s="4">
        <v>115</v>
      </c>
      <c r="DN83" s="4">
        <v>115</v>
      </c>
      <c r="DO83" s="4">
        <v>115</v>
      </c>
      <c r="DP83" s="4">
        <v>115</v>
      </c>
      <c r="DQ83" s="4">
        <v>115</v>
      </c>
      <c r="DR83" s="4">
        <v>115</v>
      </c>
      <c r="DS83" s="4">
        <v>115</v>
      </c>
      <c r="DT83" s="4">
        <v>115</v>
      </c>
      <c r="DU83" s="4">
        <v>115</v>
      </c>
      <c r="DV83" s="4">
        <v>115</v>
      </c>
      <c r="DW83" s="4">
        <v>115</v>
      </c>
      <c r="DX83" s="4">
        <v>115</v>
      </c>
      <c r="DY83" s="4">
        <v>115</v>
      </c>
      <c r="DZ83" s="4">
        <v>115</v>
      </c>
      <c r="EA83" s="4">
        <v>100</v>
      </c>
      <c r="EB83" s="4">
        <v>100</v>
      </c>
      <c r="EC83" s="4">
        <v>115</v>
      </c>
      <c r="ED83" s="4">
        <v>115</v>
      </c>
      <c r="EE83" s="4">
        <v>115</v>
      </c>
      <c r="EF83" s="4">
        <v>104</v>
      </c>
      <c r="EG83" s="4">
        <v>115</v>
      </c>
      <c r="EH83" s="4">
        <v>115</v>
      </c>
      <c r="EI83" s="4">
        <v>115</v>
      </c>
      <c r="EJ83" s="4">
        <v>115</v>
      </c>
      <c r="EK83" s="4">
        <v>115</v>
      </c>
      <c r="EL83" s="4">
        <v>115</v>
      </c>
      <c r="EM83" s="4">
        <v>112</v>
      </c>
      <c r="EN83" s="4">
        <v>115</v>
      </c>
      <c r="EO83" s="4">
        <v>115</v>
      </c>
      <c r="EP83" s="4">
        <v>115</v>
      </c>
      <c r="EQ83" s="4">
        <v>115</v>
      </c>
      <c r="ER83" s="4">
        <v>115</v>
      </c>
      <c r="ES83" s="4">
        <v>115</v>
      </c>
      <c r="ET83" s="4">
        <v>115</v>
      </c>
      <c r="EU83" s="4">
        <v>115</v>
      </c>
      <c r="EV83" s="4">
        <v>115</v>
      </c>
      <c r="EW83" s="4">
        <v>115</v>
      </c>
      <c r="EX83" s="4">
        <v>115</v>
      </c>
      <c r="EY83" s="4">
        <v>115</v>
      </c>
      <c r="EZ83" s="4">
        <v>115</v>
      </c>
      <c r="FA83" s="4">
        <v>115</v>
      </c>
      <c r="FB83" s="4">
        <v>115</v>
      </c>
      <c r="FC83" s="4">
        <v>115</v>
      </c>
      <c r="FD83" s="4">
        <v>100</v>
      </c>
      <c r="FE83" s="4">
        <v>100</v>
      </c>
      <c r="FF83" s="4">
        <v>115</v>
      </c>
      <c r="FG83" s="4">
        <v>115</v>
      </c>
      <c r="FH83" s="4">
        <v>115</v>
      </c>
      <c r="FI83" s="4">
        <v>95</v>
      </c>
      <c r="FJ83" s="4">
        <v>115</v>
      </c>
      <c r="FK83" s="4">
        <v>115</v>
      </c>
      <c r="FL83" s="4">
        <v>115</v>
      </c>
      <c r="FM83" s="4">
        <v>115</v>
      </c>
      <c r="FN83" s="4">
        <v>115</v>
      </c>
      <c r="FO83" s="4">
        <v>115</v>
      </c>
      <c r="FP83" s="4">
        <v>110</v>
      </c>
      <c r="FQ83" s="4">
        <v>115</v>
      </c>
      <c r="FR83" s="4">
        <v>115</v>
      </c>
      <c r="FS83" s="4">
        <v>115</v>
      </c>
      <c r="FT83" s="4">
        <v>115</v>
      </c>
      <c r="FU83" s="4">
        <v>115</v>
      </c>
      <c r="FV83" s="4">
        <v>115</v>
      </c>
      <c r="FW83" s="4">
        <v>115</v>
      </c>
      <c r="FX83" s="4">
        <v>115</v>
      </c>
      <c r="FY83" s="4">
        <v>115</v>
      </c>
      <c r="FZ83" s="4">
        <v>115</v>
      </c>
      <c r="GA83" s="4">
        <v>115</v>
      </c>
      <c r="GB83" s="4">
        <v>115</v>
      </c>
      <c r="GC83" s="4">
        <v>115</v>
      </c>
      <c r="GD83" s="4">
        <v>115</v>
      </c>
      <c r="GE83" s="4">
        <v>115</v>
      </c>
      <c r="GF83" s="4">
        <v>115</v>
      </c>
      <c r="GG83" s="4">
        <v>100</v>
      </c>
      <c r="GH83" s="4">
        <v>100</v>
      </c>
      <c r="GJ83" s="4">
        <v>69</v>
      </c>
      <c r="GK83" s="4">
        <v>2</v>
      </c>
      <c r="GL83" s="4">
        <v>25</v>
      </c>
      <c r="GM83" s="4" t="s">
        <v>55</v>
      </c>
      <c r="GN83" s="4">
        <f>IF(GO79&gt;4,GN82,0)</f>
        <v>1</v>
      </c>
      <c r="GP83" s="4">
        <v>8</v>
      </c>
      <c r="GQ83" s="4">
        <v>6</v>
      </c>
      <c r="GT83" s="4">
        <v>-54</v>
      </c>
      <c r="GU83" s="4">
        <v>-5</v>
      </c>
      <c r="HC83" s="4" t="s">
        <v>29</v>
      </c>
      <c r="HD83" s="4">
        <f t="shared" si="4"/>
        <v>0</v>
      </c>
      <c r="HH83" s="66"/>
      <c r="HI83" s="66"/>
      <c r="HJ83" s="66"/>
      <c r="HK83" s="66"/>
      <c r="IT83" s="4">
        <v>13</v>
      </c>
      <c r="IU83" s="4" t="s">
        <v>61</v>
      </c>
    </row>
    <row r="84" spans="1:255" x14ac:dyDescent="0.25">
      <c r="A84" s="4" t="s">
        <v>96</v>
      </c>
      <c r="E84" s="4">
        <f>SUM(C43*3+B44+C50+C52+B53*2+B58+B61+E45+E50*3+E57+E58+E63*2+E65+I43*2+I57+J61+I62+L54*2+L61+O56*3+O59*2+O61+O63*2+S46+R50+S51+R57+S61*3+R62+R63+X45*3+X46*2)</f>
        <v>11</v>
      </c>
      <c r="I84" s="35" t="s">
        <v>97</v>
      </c>
      <c r="J84" s="36"/>
      <c r="K84" s="37"/>
      <c r="L84" s="37"/>
      <c r="M84" s="37"/>
      <c r="N84" s="38">
        <f t="shared" si="0"/>
        <v>12</v>
      </c>
      <c r="O84" s="38">
        <f>LOOKUP(O104,FE109:FE112,FQ109:FQ112)</f>
        <v>40</v>
      </c>
      <c r="P84" s="37"/>
      <c r="Q84" s="38">
        <f>O84+Q102</f>
        <v>40</v>
      </c>
      <c r="R84" s="38"/>
      <c r="S84" s="38">
        <f t="shared" si="5"/>
        <v>0</v>
      </c>
      <c r="T84" s="38">
        <f t="shared" si="6"/>
        <v>0</v>
      </c>
      <c r="U84" s="38">
        <f t="shared" si="2"/>
        <v>0</v>
      </c>
      <c r="V84" s="38">
        <f t="shared" si="9"/>
        <v>40</v>
      </c>
      <c r="W84" s="38"/>
      <c r="X84" s="38">
        <f>V84-GM77</f>
        <v>40</v>
      </c>
      <c r="Y84" s="38"/>
      <c r="Z84" s="38">
        <f>IF(X84&lt;0,1,0)</f>
        <v>0</v>
      </c>
      <c r="AA84" s="38">
        <f>SUM(Z84+AB84)</f>
        <v>0</v>
      </c>
      <c r="AB84" s="38">
        <f>IF(X84&gt;115,2,0)</f>
        <v>0</v>
      </c>
      <c r="AC84" s="38"/>
      <c r="AD84" s="38">
        <f>IF((X84&lt;116)*AND(X84&gt;-1),X84,BN100)</f>
        <v>40</v>
      </c>
      <c r="AE84" s="38"/>
      <c r="AF84" s="38"/>
      <c r="AG84" s="38"/>
      <c r="AH84" s="38"/>
      <c r="AI84" s="38"/>
      <c r="AJ84" s="38"/>
      <c r="AK84" s="38"/>
      <c r="AL84" s="50"/>
      <c r="AM84" s="50"/>
      <c r="AN84" s="50"/>
      <c r="AO84" s="50"/>
      <c r="AP84" s="50"/>
      <c r="AQ84" s="50"/>
      <c r="AR84" s="50"/>
      <c r="AS84" s="50"/>
      <c r="AT84" s="50"/>
      <c r="AU84" s="59">
        <f t="shared" si="3"/>
        <v>40</v>
      </c>
      <c r="AV84" s="60" t="str">
        <f>LOOKUP(AU84,IT70:IU185)</f>
        <v>Indicador nulo</v>
      </c>
      <c r="BD84" s="4" t="s">
        <v>56</v>
      </c>
      <c r="BT84" s="4" t="s">
        <v>98</v>
      </c>
      <c r="BV84" s="4">
        <v>68</v>
      </c>
      <c r="BW84" s="4">
        <v>115</v>
      </c>
      <c r="BX84" s="4">
        <v>115</v>
      </c>
      <c r="BY84" s="4">
        <v>115</v>
      </c>
      <c r="BZ84" s="4">
        <v>113</v>
      </c>
      <c r="CA84" s="4">
        <v>115</v>
      </c>
      <c r="CB84" s="4">
        <v>115</v>
      </c>
      <c r="CC84" s="4">
        <v>115</v>
      </c>
      <c r="CD84" s="4">
        <v>115</v>
      </c>
      <c r="CE84" s="4">
        <v>115</v>
      </c>
      <c r="CF84" s="4">
        <v>115</v>
      </c>
      <c r="CG84" s="4">
        <v>115</v>
      </c>
      <c r="CH84" s="4">
        <v>115</v>
      </c>
      <c r="CI84" s="4">
        <v>115</v>
      </c>
      <c r="CJ84" s="4">
        <v>115</v>
      </c>
      <c r="CK84" s="4">
        <v>115</v>
      </c>
      <c r="CL84" s="4">
        <v>115</v>
      </c>
      <c r="CM84" s="4">
        <v>115</v>
      </c>
      <c r="CN84" s="4">
        <v>115</v>
      </c>
      <c r="CO84" s="4">
        <v>115</v>
      </c>
      <c r="CP84" s="4">
        <v>115</v>
      </c>
      <c r="CQ84" s="4">
        <v>115</v>
      </c>
      <c r="CR84" s="4">
        <v>115</v>
      </c>
      <c r="CS84" s="4">
        <v>115</v>
      </c>
      <c r="CT84" s="4">
        <v>115</v>
      </c>
      <c r="CU84" s="4">
        <v>115</v>
      </c>
      <c r="CV84" s="4">
        <v>115</v>
      </c>
      <c r="CW84" s="4">
        <v>115</v>
      </c>
      <c r="CX84" s="4">
        <v>100</v>
      </c>
      <c r="CY84" s="4">
        <v>100</v>
      </c>
      <c r="CZ84" s="4">
        <v>115</v>
      </c>
      <c r="DA84" s="4">
        <v>115</v>
      </c>
      <c r="DB84" s="4">
        <v>115</v>
      </c>
      <c r="DC84" s="4">
        <v>109</v>
      </c>
      <c r="DD84" s="4">
        <v>115</v>
      </c>
      <c r="DE84" s="4">
        <v>115</v>
      </c>
      <c r="DF84" s="4">
        <v>115</v>
      </c>
      <c r="DG84" s="4">
        <v>115</v>
      </c>
      <c r="DH84" s="4">
        <v>115</v>
      </c>
      <c r="DI84" s="4">
        <v>115</v>
      </c>
      <c r="DJ84" s="4">
        <v>115</v>
      </c>
      <c r="DK84" s="4">
        <v>115</v>
      </c>
      <c r="DL84" s="4">
        <v>115</v>
      </c>
      <c r="DM84" s="4">
        <v>115</v>
      </c>
      <c r="DN84" s="4">
        <v>115</v>
      </c>
      <c r="DO84" s="4">
        <v>115</v>
      </c>
      <c r="DP84" s="4">
        <v>115</v>
      </c>
      <c r="DQ84" s="4">
        <v>115</v>
      </c>
      <c r="DR84" s="4">
        <v>115</v>
      </c>
      <c r="DS84" s="4">
        <v>115</v>
      </c>
      <c r="DT84" s="4">
        <v>115</v>
      </c>
      <c r="DU84" s="4">
        <v>115</v>
      </c>
      <c r="DV84" s="4">
        <v>115</v>
      </c>
      <c r="DW84" s="4">
        <v>115</v>
      </c>
      <c r="DX84" s="4">
        <v>115</v>
      </c>
      <c r="DY84" s="4">
        <v>115</v>
      </c>
      <c r="DZ84" s="4">
        <v>115</v>
      </c>
      <c r="EA84" s="4">
        <v>100</v>
      </c>
      <c r="EB84" s="4">
        <v>100</v>
      </c>
      <c r="EC84" s="4">
        <v>115</v>
      </c>
      <c r="ED84" s="4">
        <v>115</v>
      </c>
      <c r="EE84" s="4">
        <v>115</v>
      </c>
      <c r="EF84" s="4">
        <v>107</v>
      </c>
      <c r="EG84" s="4">
        <v>115</v>
      </c>
      <c r="EH84" s="4">
        <v>115</v>
      </c>
      <c r="EI84" s="4">
        <v>115</v>
      </c>
      <c r="EJ84" s="4">
        <v>115</v>
      </c>
      <c r="EK84" s="4">
        <v>115</v>
      </c>
      <c r="EL84" s="4">
        <v>115</v>
      </c>
      <c r="EM84" s="4">
        <v>113</v>
      </c>
      <c r="EN84" s="4">
        <v>115</v>
      </c>
      <c r="EO84" s="4">
        <v>115</v>
      </c>
      <c r="EP84" s="4">
        <v>115</v>
      </c>
      <c r="EQ84" s="4">
        <v>115</v>
      </c>
      <c r="ER84" s="4">
        <v>115</v>
      </c>
      <c r="ES84" s="4">
        <v>115</v>
      </c>
      <c r="ET84" s="4">
        <v>115</v>
      </c>
      <c r="EU84" s="4">
        <v>115</v>
      </c>
      <c r="EV84" s="4">
        <v>115</v>
      </c>
      <c r="EW84" s="4">
        <v>115</v>
      </c>
      <c r="EX84" s="4">
        <v>115</v>
      </c>
      <c r="EY84" s="4">
        <v>115</v>
      </c>
      <c r="EZ84" s="4">
        <v>115</v>
      </c>
      <c r="FA84" s="4">
        <v>115</v>
      </c>
      <c r="FB84" s="4">
        <v>115</v>
      </c>
      <c r="FC84" s="4">
        <v>115</v>
      </c>
      <c r="FD84" s="4">
        <v>100</v>
      </c>
      <c r="FE84" s="4">
        <v>100</v>
      </c>
      <c r="FF84" s="4">
        <v>115</v>
      </c>
      <c r="FG84" s="4">
        <v>115</v>
      </c>
      <c r="FH84" s="4">
        <v>115</v>
      </c>
      <c r="FI84" s="4">
        <v>96</v>
      </c>
      <c r="FJ84" s="4">
        <v>115</v>
      </c>
      <c r="FK84" s="4">
        <v>115</v>
      </c>
      <c r="FL84" s="4">
        <v>115</v>
      </c>
      <c r="FM84" s="4">
        <v>115</v>
      </c>
      <c r="FN84" s="4">
        <v>115</v>
      </c>
      <c r="FO84" s="4">
        <v>115</v>
      </c>
      <c r="FP84" s="4">
        <v>110</v>
      </c>
      <c r="FQ84" s="4">
        <v>115</v>
      </c>
      <c r="FR84" s="4">
        <v>115</v>
      </c>
      <c r="FS84" s="4">
        <v>115</v>
      </c>
      <c r="FT84" s="4">
        <v>115</v>
      </c>
      <c r="FU84" s="4">
        <v>115</v>
      </c>
      <c r="FV84" s="4">
        <v>115</v>
      </c>
      <c r="FW84" s="4">
        <v>115</v>
      </c>
      <c r="FX84" s="4">
        <v>115</v>
      </c>
      <c r="FY84" s="4">
        <v>115</v>
      </c>
      <c r="FZ84" s="4">
        <v>115</v>
      </c>
      <c r="GA84" s="4">
        <v>115</v>
      </c>
      <c r="GB84" s="4">
        <v>115</v>
      </c>
      <c r="GC84" s="4">
        <v>115</v>
      </c>
      <c r="GD84" s="4">
        <v>115</v>
      </c>
      <c r="GE84" s="4">
        <v>115</v>
      </c>
      <c r="GF84" s="4">
        <v>115</v>
      </c>
      <c r="GG84" s="4">
        <v>100</v>
      </c>
      <c r="GH84" s="4">
        <v>100</v>
      </c>
      <c r="GJ84" s="4">
        <v>70</v>
      </c>
      <c r="GK84" s="4">
        <v>2</v>
      </c>
      <c r="GL84" s="4">
        <v>25</v>
      </c>
      <c r="GP84" s="4">
        <v>9</v>
      </c>
      <c r="GQ84" s="4">
        <v>7</v>
      </c>
      <c r="GT84" s="4">
        <v>-53</v>
      </c>
      <c r="GU84" s="4">
        <v>-5</v>
      </c>
      <c r="HC84" s="4" t="s">
        <v>30</v>
      </c>
      <c r="HD84" s="4">
        <f t="shared" si="4"/>
        <v>0</v>
      </c>
      <c r="HH84" s="66"/>
      <c r="HI84" s="66"/>
      <c r="HJ84" s="66"/>
      <c r="HK84" s="66"/>
      <c r="IT84" s="4">
        <v>14</v>
      </c>
      <c r="IU84" s="4" t="s">
        <v>61</v>
      </c>
    </row>
    <row r="85" spans="1:255" x14ac:dyDescent="0.25">
      <c r="A85" s="4" t="s">
        <v>99</v>
      </c>
      <c r="E85" s="4">
        <f>SUM(B45*2+C51*2+B60*2+B61+B66*2+E42*3+E47*2+E51*2+E54*2+E58*3+E62+E63*2+I54+J59*2+I60+I62*2+L46*2+L48+L50*3+L53*2+L65*2)</f>
        <v>11</v>
      </c>
      <c r="F85" s="4">
        <f>SUM(O47+O48*2+O50+O51+O53*2+O56+O59+O60+O62+O66+R43*3+S47*2+R56*3+R57*2+S61+X42*2+X44*2)</f>
        <v>6</v>
      </c>
      <c r="I85" s="23" t="s">
        <v>100</v>
      </c>
      <c r="J85" s="24"/>
      <c r="K85" s="25"/>
      <c r="L85" s="25"/>
      <c r="M85" s="25"/>
      <c r="N85" s="26">
        <f t="shared" si="0"/>
        <v>11</v>
      </c>
      <c r="O85" s="26">
        <f>LOOKUP(O104,FE109:FE112,FR109:FR112)</f>
        <v>30</v>
      </c>
      <c r="P85" s="25"/>
      <c r="Q85" s="26">
        <f>O85</f>
        <v>30</v>
      </c>
      <c r="R85" s="26"/>
      <c r="S85" s="26"/>
      <c r="T85" s="26"/>
      <c r="U85" s="26"/>
      <c r="V85" s="46"/>
      <c r="W85" s="46"/>
      <c r="X85" s="46"/>
      <c r="Y85" s="46"/>
      <c r="Z85" s="46"/>
      <c r="AA85" s="46"/>
      <c r="AB85" s="46"/>
      <c r="AC85" s="46"/>
      <c r="AD85" s="46"/>
      <c r="AE85" s="26"/>
      <c r="AF85" s="26">
        <f>Q85+GN83</f>
        <v>31</v>
      </c>
      <c r="AG85" s="26"/>
      <c r="AH85" s="26">
        <f>IF(AF85&lt;0,1,0)</f>
        <v>0</v>
      </c>
      <c r="AI85" s="26">
        <f>IF(AF85&gt;115,2,0)</f>
        <v>0</v>
      </c>
      <c r="AJ85" s="26">
        <f>SUM(AH85:AI85)</f>
        <v>0</v>
      </c>
      <c r="AK85" s="26"/>
      <c r="AL85" s="26">
        <f t="shared" ref="AL85:AL93" si="10">IF((AF85&gt;-1)*AND(AF85&lt;116),AF85,BE91)</f>
        <v>31</v>
      </c>
      <c r="AM85" s="26"/>
      <c r="AN85" s="26"/>
      <c r="AO85" s="26">
        <f>AL85+BE83</f>
        <v>31</v>
      </c>
      <c r="AP85" s="26"/>
      <c r="AQ85" s="26">
        <f>IF(AO85&lt;0,1,0)</f>
        <v>0</v>
      </c>
      <c r="AR85" s="26">
        <f>IF(AO85&gt;115,2,0)</f>
        <v>0</v>
      </c>
      <c r="AS85" s="26">
        <f>SUM(AQ85:AR85)</f>
        <v>0</v>
      </c>
      <c r="AT85" s="26">
        <f>IF((AO85&lt;116)*AND(AO85&gt;-1),AO85,AZ91)</f>
        <v>31</v>
      </c>
      <c r="AU85" s="52">
        <f>AT85</f>
        <v>31</v>
      </c>
      <c r="AV85" s="61" t="str">
        <f>LOOKUP(AU85,IT70:IU185)</f>
        <v>Indicador nulo</v>
      </c>
      <c r="BT85" s="4">
        <v>1</v>
      </c>
      <c r="BU85" s="4">
        <v>1</v>
      </c>
      <c r="BV85" s="4">
        <v>69</v>
      </c>
      <c r="BW85" s="4">
        <v>115</v>
      </c>
      <c r="BX85" s="4">
        <v>115</v>
      </c>
      <c r="BY85" s="4">
        <v>115</v>
      </c>
      <c r="BZ85" s="4">
        <v>113</v>
      </c>
      <c r="CA85" s="4">
        <v>115</v>
      </c>
      <c r="CB85" s="4">
        <v>115</v>
      </c>
      <c r="CC85" s="4">
        <v>115</v>
      </c>
      <c r="CD85" s="4">
        <v>115</v>
      </c>
      <c r="CE85" s="4">
        <v>115</v>
      </c>
      <c r="CF85" s="4">
        <v>115</v>
      </c>
      <c r="CG85" s="4">
        <v>115</v>
      </c>
      <c r="CH85" s="4">
        <v>115</v>
      </c>
      <c r="CI85" s="4">
        <v>115</v>
      </c>
      <c r="CJ85" s="4">
        <v>115</v>
      </c>
      <c r="CK85" s="4">
        <v>115</v>
      </c>
      <c r="CL85" s="4">
        <v>115</v>
      </c>
      <c r="CM85" s="4">
        <v>115</v>
      </c>
      <c r="CN85" s="4">
        <v>115</v>
      </c>
      <c r="CO85" s="4">
        <v>115</v>
      </c>
      <c r="CP85" s="4">
        <v>115</v>
      </c>
      <c r="CQ85" s="4">
        <v>115</v>
      </c>
      <c r="CR85" s="4">
        <v>115</v>
      </c>
      <c r="CS85" s="4">
        <v>115</v>
      </c>
      <c r="CT85" s="4">
        <v>115</v>
      </c>
      <c r="CU85" s="4">
        <v>115</v>
      </c>
      <c r="CV85" s="4">
        <v>115</v>
      </c>
      <c r="CW85" s="4">
        <v>115</v>
      </c>
      <c r="CX85" s="4">
        <v>100</v>
      </c>
      <c r="CY85" s="4">
        <v>100</v>
      </c>
      <c r="CZ85" s="4">
        <v>115</v>
      </c>
      <c r="DA85" s="4">
        <v>115</v>
      </c>
      <c r="DB85" s="4">
        <v>115</v>
      </c>
      <c r="DC85" s="4">
        <v>112</v>
      </c>
      <c r="DD85" s="4">
        <v>115</v>
      </c>
      <c r="DE85" s="4">
        <v>115</v>
      </c>
      <c r="DF85" s="4">
        <v>115</v>
      </c>
      <c r="DG85" s="4">
        <v>115</v>
      </c>
      <c r="DH85" s="4">
        <v>115</v>
      </c>
      <c r="DI85" s="4">
        <v>115</v>
      </c>
      <c r="DJ85" s="4">
        <v>115</v>
      </c>
      <c r="DK85" s="4">
        <v>115</v>
      </c>
      <c r="DL85" s="4">
        <v>115</v>
      </c>
      <c r="DM85" s="4">
        <v>115</v>
      </c>
      <c r="DN85" s="4">
        <v>115</v>
      </c>
      <c r="DO85" s="4">
        <v>115</v>
      </c>
      <c r="DP85" s="4">
        <v>115</v>
      </c>
      <c r="DQ85" s="4">
        <v>115</v>
      </c>
      <c r="DR85" s="4">
        <v>115</v>
      </c>
      <c r="DS85" s="4">
        <v>115</v>
      </c>
      <c r="DT85" s="4">
        <v>115</v>
      </c>
      <c r="DU85" s="4">
        <v>115</v>
      </c>
      <c r="DV85" s="4">
        <v>115</v>
      </c>
      <c r="DW85" s="4">
        <v>115</v>
      </c>
      <c r="DX85" s="4">
        <v>115</v>
      </c>
      <c r="DY85" s="4">
        <v>115</v>
      </c>
      <c r="DZ85" s="4">
        <v>115</v>
      </c>
      <c r="EA85" s="4">
        <v>100</v>
      </c>
      <c r="EB85" s="4">
        <v>100</v>
      </c>
      <c r="EC85" s="4">
        <v>115</v>
      </c>
      <c r="ED85" s="4">
        <v>115</v>
      </c>
      <c r="EE85" s="4">
        <v>115</v>
      </c>
      <c r="EF85" s="4">
        <v>110</v>
      </c>
      <c r="EG85" s="4">
        <v>115</v>
      </c>
      <c r="EH85" s="4">
        <v>115</v>
      </c>
      <c r="EI85" s="4">
        <v>115</v>
      </c>
      <c r="EJ85" s="4">
        <v>115</v>
      </c>
      <c r="EK85" s="4">
        <v>115</v>
      </c>
      <c r="EL85" s="4">
        <v>115</v>
      </c>
      <c r="EM85" s="4">
        <v>113</v>
      </c>
      <c r="EN85" s="4">
        <v>115</v>
      </c>
      <c r="EO85" s="4">
        <v>115</v>
      </c>
      <c r="EP85" s="4">
        <v>115</v>
      </c>
      <c r="EQ85" s="4">
        <v>115</v>
      </c>
      <c r="ER85" s="4">
        <v>115</v>
      </c>
      <c r="ES85" s="4">
        <v>115</v>
      </c>
      <c r="ET85" s="4">
        <v>115</v>
      </c>
      <c r="EU85" s="4">
        <v>115</v>
      </c>
      <c r="EV85" s="4">
        <v>115</v>
      </c>
      <c r="EW85" s="4">
        <v>115</v>
      </c>
      <c r="EX85" s="4">
        <v>115</v>
      </c>
      <c r="EY85" s="4">
        <v>115</v>
      </c>
      <c r="EZ85" s="4">
        <v>115</v>
      </c>
      <c r="FA85" s="4">
        <v>115</v>
      </c>
      <c r="FB85" s="4">
        <v>115</v>
      </c>
      <c r="FC85" s="4">
        <v>115</v>
      </c>
      <c r="FD85" s="4">
        <v>100</v>
      </c>
      <c r="FE85" s="4">
        <v>100</v>
      </c>
      <c r="FF85" s="4">
        <v>115</v>
      </c>
      <c r="FG85" s="4">
        <v>115</v>
      </c>
      <c r="FH85" s="4">
        <v>115</v>
      </c>
      <c r="FI85" s="4">
        <v>101</v>
      </c>
      <c r="FJ85" s="4">
        <v>115</v>
      </c>
      <c r="FK85" s="4">
        <v>115</v>
      </c>
      <c r="FL85" s="4">
        <v>115</v>
      </c>
      <c r="FM85" s="4">
        <v>115</v>
      </c>
      <c r="FN85" s="4">
        <v>115</v>
      </c>
      <c r="FO85" s="4">
        <v>115</v>
      </c>
      <c r="FP85" s="4">
        <v>110</v>
      </c>
      <c r="FQ85" s="4">
        <v>115</v>
      </c>
      <c r="FR85" s="4">
        <v>115</v>
      </c>
      <c r="FS85" s="4">
        <v>115</v>
      </c>
      <c r="FT85" s="4">
        <v>115</v>
      </c>
      <c r="FU85" s="4">
        <v>115</v>
      </c>
      <c r="FV85" s="4">
        <v>115</v>
      </c>
      <c r="FW85" s="4">
        <v>115</v>
      </c>
      <c r="FX85" s="4">
        <v>115</v>
      </c>
      <c r="FY85" s="4">
        <v>115</v>
      </c>
      <c r="FZ85" s="4">
        <v>115</v>
      </c>
      <c r="GA85" s="4">
        <v>115</v>
      </c>
      <c r="GB85" s="4">
        <v>115</v>
      </c>
      <c r="GC85" s="4">
        <v>115</v>
      </c>
      <c r="GD85" s="4">
        <v>115</v>
      </c>
      <c r="GE85" s="4">
        <v>115</v>
      </c>
      <c r="GF85" s="4">
        <v>115</v>
      </c>
      <c r="GG85" s="4">
        <v>100</v>
      </c>
      <c r="GH85" s="4">
        <v>100</v>
      </c>
      <c r="GJ85" s="4">
        <v>71</v>
      </c>
      <c r="GK85" s="4">
        <v>2</v>
      </c>
      <c r="GL85" s="4">
        <v>25</v>
      </c>
      <c r="GP85" s="4">
        <v>10</v>
      </c>
      <c r="GQ85" s="4">
        <v>7</v>
      </c>
      <c r="GT85" s="4">
        <v>-52</v>
      </c>
      <c r="GU85" s="4">
        <v>-5</v>
      </c>
      <c r="HH85" s="66"/>
      <c r="HI85" s="66"/>
      <c r="HJ85" s="66"/>
      <c r="HK85" s="66"/>
      <c r="IT85" s="4">
        <v>15</v>
      </c>
      <c r="IU85" s="4" t="s">
        <v>61</v>
      </c>
    </row>
    <row r="86" spans="1:255" x14ac:dyDescent="0.25">
      <c r="A86" s="4" t="s">
        <v>101</v>
      </c>
      <c r="E86" s="4">
        <f>SUM(C51*3+B52+B55+E42+E45*2+E47*3+E64*2+I56*2+J59*3+L65*2+O46+O53*3+O64+O65+S47*3+R54+R60*2)</f>
        <v>11</v>
      </c>
      <c r="I86" s="28" t="s">
        <v>102</v>
      </c>
      <c r="J86" s="29"/>
      <c r="K86" s="6"/>
      <c r="L86" s="6"/>
      <c r="M86" s="6"/>
      <c r="N86" s="2">
        <f t="shared" si="0"/>
        <v>17</v>
      </c>
      <c r="O86" s="2">
        <f>LOOKUP(O104,FE109:FE112,FS109:FS112)</f>
        <v>32</v>
      </c>
      <c r="P86" s="6"/>
      <c r="Q86" s="2">
        <f t="shared" ref="Q86:Q99" si="11">O86</f>
        <v>32</v>
      </c>
      <c r="R86" s="2"/>
      <c r="S86" s="2"/>
      <c r="T86" s="2"/>
      <c r="U86" s="2"/>
      <c r="V86" s="47"/>
      <c r="W86" s="47"/>
      <c r="X86" s="47"/>
      <c r="Y86" s="47"/>
      <c r="Z86" s="47"/>
      <c r="AA86" s="47"/>
      <c r="AB86" s="47"/>
      <c r="AC86" s="47"/>
      <c r="AD86" s="47"/>
      <c r="AE86" s="2"/>
      <c r="AF86" s="2">
        <f>Q86+GN83</f>
        <v>33</v>
      </c>
      <c r="AG86" s="2"/>
      <c r="AH86" s="2">
        <f t="shared" ref="AH86:AH99" si="12">IF(AF86&lt;0,1,0)</f>
        <v>0</v>
      </c>
      <c r="AI86" s="2">
        <f t="shared" ref="AI86:AI99" si="13">IF(AF86&gt;115,2,0)</f>
        <v>0</v>
      </c>
      <c r="AJ86" s="2">
        <f t="shared" ref="AJ86:AJ99" si="14">SUM(AH86:AI86)</f>
        <v>0</v>
      </c>
      <c r="AK86" s="2"/>
      <c r="AL86" s="2">
        <f t="shared" si="10"/>
        <v>33</v>
      </c>
      <c r="AM86" s="2"/>
      <c r="AN86" s="2"/>
      <c r="AO86" s="2">
        <f>AL86+BE83</f>
        <v>33</v>
      </c>
      <c r="AP86" s="2"/>
      <c r="AQ86" s="2">
        <f>IF(AO86&lt;0,1,0)</f>
        <v>0</v>
      </c>
      <c r="AR86" s="2">
        <f>IF(AO86&gt;115,2,0)</f>
        <v>0</v>
      </c>
      <c r="AS86" s="2">
        <f>SUM(AQ86:AR86)</f>
        <v>0</v>
      </c>
      <c r="AT86" s="2">
        <f>IF((AO86&lt;116)*AND(AO86&gt;-1),AO86,AZ92)</f>
        <v>33</v>
      </c>
      <c r="AU86" s="54">
        <f t="shared" ref="AU86:AU99" si="15">AT86</f>
        <v>33</v>
      </c>
      <c r="AV86" s="56" t="str">
        <f>LOOKUP(AU86,IT70:IU185)</f>
        <v>Indicador nulo</v>
      </c>
      <c r="BT86" s="4">
        <v>2</v>
      </c>
      <c r="BU86" s="4">
        <v>115</v>
      </c>
      <c r="BV86" s="4">
        <v>70</v>
      </c>
      <c r="BW86" s="4">
        <v>115</v>
      </c>
      <c r="BX86" s="4">
        <v>115</v>
      </c>
      <c r="BY86" s="4">
        <v>115</v>
      </c>
      <c r="BZ86" s="4">
        <v>114</v>
      </c>
      <c r="CA86" s="4">
        <v>115</v>
      </c>
      <c r="CB86" s="4">
        <v>115</v>
      </c>
      <c r="CC86" s="4">
        <v>115</v>
      </c>
      <c r="CD86" s="4">
        <v>115</v>
      </c>
      <c r="CE86" s="4">
        <v>115</v>
      </c>
      <c r="CF86" s="4">
        <v>115</v>
      </c>
      <c r="CG86" s="4">
        <v>115</v>
      </c>
      <c r="CH86" s="4">
        <v>115</v>
      </c>
      <c r="CI86" s="4">
        <v>115</v>
      </c>
      <c r="CJ86" s="4">
        <v>115</v>
      </c>
      <c r="CK86" s="4">
        <v>115</v>
      </c>
      <c r="CL86" s="4">
        <v>115</v>
      </c>
      <c r="CM86" s="4">
        <v>115</v>
      </c>
      <c r="CN86" s="4">
        <v>115</v>
      </c>
      <c r="CO86" s="4">
        <v>115</v>
      </c>
      <c r="CP86" s="4">
        <v>115</v>
      </c>
      <c r="CQ86" s="4">
        <v>115</v>
      </c>
      <c r="CR86" s="4">
        <v>115</v>
      </c>
      <c r="CS86" s="4">
        <v>115</v>
      </c>
      <c r="CT86" s="4">
        <v>115</v>
      </c>
      <c r="CU86" s="4">
        <v>115</v>
      </c>
      <c r="CV86" s="4">
        <v>115</v>
      </c>
      <c r="CW86" s="4">
        <v>115</v>
      </c>
      <c r="CX86" s="4">
        <v>100</v>
      </c>
      <c r="CY86" s="4">
        <v>100</v>
      </c>
      <c r="CZ86" s="4">
        <v>115</v>
      </c>
      <c r="DA86" s="4">
        <v>115</v>
      </c>
      <c r="DB86" s="4">
        <v>115</v>
      </c>
      <c r="DC86" s="4">
        <v>115</v>
      </c>
      <c r="DD86" s="4">
        <v>115</v>
      </c>
      <c r="DE86" s="4">
        <v>115</v>
      </c>
      <c r="DF86" s="4">
        <v>115</v>
      </c>
      <c r="DG86" s="4">
        <v>115</v>
      </c>
      <c r="DH86" s="4">
        <v>115</v>
      </c>
      <c r="DI86" s="4">
        <v>115</v>
      </c>
      <c r="DJ86" s="4">
        <v>115</v>
      </c>
      <c r="DK86" s="4">
        <v>115</v>
      </c>
      <c r="DL86" s="4">
        <v>115</v>
      </c>
      <c r="DM86" s="4">
        <v>115</v>
      </c>
      <c r="DN86" s="4">
        <v>115</v>
      </c>
      <c r="DO86" s="4">
        <v>115</v>
      </c>
      <c r="DP86" s="4">
        <v>115</v>
      </c>
      <c r="DQ86" s="4">
        <v>115</v>
      </c>
      <c r="DR86" s="4">
        <v>115</v>
      </c>
      <c r="DS86" s="4">
        <v>115</v>
      </c>
      <c r="DT86" s="4">
        <v>115</v>
      </c>
      <c r="DU86" s="4">
        <v>115</v>
      </c>
      <c r="DV86" s="4">
        <v>115</v>
      </c>
      <c r="DW86" s="4">
        <v>115</v>
      </c>
      <c r="DX86" s="4">
        <v>115</v>
      </c>
      <c r="DY86" s="4">
        <v>115</v>
      </c>
      <c r="DZ86" s="4">
        <v>115</v>
      </c>
      <c r="EA86" s="4">
        <v>100</v>
      </c>
      <c r="EB86" s="4">
        <v>100</v>
      </c>
      <c r="EC86" s="4">
        <v>115</v>
      </c>
      <c r="ED86" s="4">
        <v>115</v>
      </c>
      <c r="EE86" s="4">
        <v>115</v>
      </c>
      <c r="EF86" s="4">
        <v>111</v>
      </c>
      <c r="EG86" s="4">
        <v>115</v>
      </c>
      <c r="EH86" s="4">
        <v>115</v>
      </c>
      <c r="EI86" s="4">
        <v>115</v>
      </c>
      <c r="EJ86" s="4">
        <v>115</v>
      </c>
      <c r="EK86" s="4">
        <v>115</v>
      </c>
      <c r="EL86" s="4">
        <v>115</v>
      </c>
      <c r="EM86" s="4">
        <v>113</v>
      </c>
      <c r="EN86" s="4">
        <v>115</v>
      </c>
      <c r="EO86" s="4">
        <v>115</v>
      </c>
      <c r="EP86" s="4">
        <v>115</v>
      </c>
      <c r="EQ86" s="4">
        <v>115</v>
      </c>
      <c r="ER86" s="4">
        <v>115</v>
      </c>
      <c r="ES86" s="4">
        <v>115</v>
      </c>
      <c r="ET86" s="4">
        <v>115</v>
      </c>
      <c r="EU86" s="4">
        <v>115</v>
      </c>
      <c r="EV86" s="4">
        <v>115</v>
      </c>
      <c r="EW86" s="4">
        <v>115</v>
      </c>
      <c r="EX86" s="4">
        <v>115</v>
      </c>
      <c r="EY86" s="4">
        <v>115</v>
      </c>
      <c r="EZ86" s="4">
        <v>115</v>
      </c>
      <c r="FA86" s="4">
        <v>115</v>
      </c>
      <c r="FB86" s="4">
        <v>115</v>
      </c>
      <c r="FC86" s="4">
        <v>115</v>
      </c>
      <c r="FD86" s="4">
        <v>100</v>
      </c>
      <c r="FE86" s="4">
        <v>100</v>
      </c>
      <c r="FF86" s="4">
        <v>115</v>
      </c>
      <c r="FG86" s="4">
        <v>115</v>
      </c>
      <c r="FH86" s="4">
        <v>115</v>
      </c>
      <c r="FI86" s="4">
        <v>106</v>
      </c>
      <c r="FJ86" s="4">
        <v>115</v>
      </c>
      <c r="FK86" s="4">
        <v>115</v>
      </c>
      <c r="FL86" s="4">
        <v>115</v>
      </c>
      <c r="FM86" s="4">
        <v>115</v>
      </c>
      <c r="FN86" s="4">
        <v>115</v>
      </c>
      <c r="FO86" s="4">
        <v>115</v>
      </c>
      <c r="FP86" s="4">
        <v>115</v>
      </c>
      <c r="FQ86" s="4">
        <v>115</v>
      </c>
      <c r="FR86" s="4">
        <v>115</v>
      </c>
      <c r="FS86" s="4">
        <v>115</v>
      </c>
      <c r="FT86" s="4">
        <v>115</v>
      </c>
      <c r="FU86" s="4">
        <v>115</v>
      </c>
      <c r="FV86" s="4">
        <v>115</v>
      </c>
      <c r="FW86" s="4">
        <v>115</v>
      </c>
      <c r="FX86" s="4">
        <v>115</v>
      </c>
      <c r="FY86" s="4">
        <v>115</v>
      </c>
      <c r="FZ86" s="4">
        <v>115</v>
      </c>
      <c r="GA86" s="4">
        <v>115</v>
      </c>
      <c r="GB86" s="4">
        <v>115</v>
      </c>
      <c r="GC86" s="4">
        <v>115</v>
      </c>
      <c r="GD86" s="4">
        <v>115</v>
      </c>
      <c r="GE86" s="4">
        <v>115</v>
      </c>
      <c r="GF86" s="4">
        <v>115</v>
      </c>
      <c r="GG86" s="4">
        <v>100</v>
      </c>
      <c r="GH86" s="4">
        <v>100</v>
      </c>
      <c r="GJ86" s="4">
        <v>72</v>
      </c>
      <c r="GK86" s="4">
        <v>2</v>
      </c>
      <c r="GL86" s="4">
        <v>25</v>
      </c>
      <c r="GP86" s="4">
        <v>11</v>
      </c>
      <c r="GQ86" s="4">
        <v>8</v>
      </c>
      <c r="GT86" s="4">
        <v>-51</v>
      </c>
      <c r="GU86" s="4">
        <v>-5</v>
      </c>
      <c r="HH86" s="66"/>
      <c r="HI86" s="66"/>
      <c r="HJ86" s="66"/>
      <c r="HK86" s="66"/>
      <c r="IT86" s="4">
        <v>16</v>
      </c>
      <c r="IU86" s="4" t="s">
        <v>61</v>
      </c>
    </row>
    <row r="87" spans="1:255" x14ac:dyDescent="0.25">
      <c r="A87" s="4" t="s">
        <v>103</v>
      </c>
      <c r="E87" s="4">
        <f>SUM(B43+B46+C48+B50+B55*2+C60+C63+C65+E45+E47+F59*2+I42*3+J43+J46*2+J48+J52+J50+J53*3+I63+M42*2+M49+L59+M60*3+L65)</f>
        <v>23</v>
      </c>
      <c r="F87" s="4">
        <f>SUM(O57*3+P59*2+P62+R45*2+S47+S52+R53*2+S59*3+S63+S66*2+Y48*2+Y51*2)</f>
        <v>17</v>
      </c>
      <c r="I87" s="28" t="s">
        <v>104</v>
      </c>
      <c r="J87" s="29"/>
      <c r="K87" s="6"/>
      <c r="L87" s="6"/>
      <c r="M87" s="6"/>
      <c r="N87" s="2">
        <f t="shared" si="0"/>
        <v>11</v>
      </c>
      <c r="O87" s="2">
        <f>LOOKUP(O104,FE109:FE112,FT109:FT112)</f>
        <v>45</v>
      </c>
      <c r="P87" s="6"/>
      <c r="Q87" s="2">
        <f t="shared" si="11"/>
        <v>45</v>
      </c>
      <c r="R87" s="2"/>
      <c r="S87" s="2"/>
      <c r="T87" s="2"/>
      <c r="U87" s="2"/>
      <c r="V87" s="47"/>
      <c r="W87" s="47"/>
      <c r="X87" s="47"/>
      <c r="Y87" s="47"/>
      <c r="Z87" s="47"/>
      <c r="AA87" s="47"/>
      <c r="AB87" s="47"/>
      <c r="AC87" s="47"/>
      <c r="AD87" s="47"/>
      <c r="AE87" s="2"/>
      <c r="AF87" s="2">
        <f>Q87+GN83</f>
        <v>46</v>
      </c>
      <c r="AG87" s="2"/>
      <c r="AH87" s="2">
        <f t="shared" si="12"/>
        <v>0</v>
      </c>
      <c r="AI87" s="2">
        <f t="shared" si="13"/>
        <v>0</v>
      </c>
      <c r="AJ87" s="2">
        <f t="shared" si="14"/>
        <v>0</v>
      </c>
      <c r="AK87" s="2"/>
      <c r="AL87" s="2">
        <f t="shared" si="10"/>
        <v>46</v>
      </c>
      <c r="AM87" s="2"/>
      <c r="AN87" s="2"/>
      <c r="AO87" s="2">
        <f>AL87</f>
        <v>46</v>
      </c>
      <c r="AP87" s="2"/>
      <c r="AQ87" s="2"/>
      <c r="AR87" s="2"/>
      <c r="AS87" s="2"/>
      <c r="AT87" s="2">
        <f>AO87</f>
        <v>46</v>
      </c>
      <c r="AU87" s="54">
        <f t="shared" si="15"/>
        <v>46</v>
      </c>
      <c r="AV87" s="56" t="str">
        <f>LOOKUP(AU87,IT70:IU185)</f>
        <v>Indicador nulo</v>
      </c>
      <c r="BN87" s="4" t="s">
        <v>105</v>
      </c>
      <c r="BT87" s="4" t="e">
        <f>LOOKUP(T73,BT85:BU86)</f>
        <v>#N/A</v>
      </c>
      <c r="BV87" s="4">
        <v>71</v>
      </c>
      <c r="BW87" s="4">
        <v>115</v>
      </c>
      <c r="BX87" s="4">
        <v>115</v>
      </c>
      <c r="BY87" s="4">
        <v>115</v>
      </c>
      <c r="BZ87" s="4">
        <v>114</v>
      </c>
      <c r="CA87" s="4">
        <v>115</v>
      </c>
      <c r="CB87" s="4">
        <v>115</v>
      </c>
      <c r="CC87" s="4">
        <v>115</v>
      </c>
      <c r="CD87" s="4">
        <v>115</v>
      </c>
      <c r="CE87" s="4">
        <v>115</v>
      </c>
      <c r="CF87" s="4">
        <v>115</v>
      </c>
      <c r="CG87" s="4">
        <v>115</v>
      </c>
      <c r="CH87" s="4">
        <v>115</v>
      </c>
      <c r="CI87" s="4">
        <v>115</v>
      </c>
      <c r="CJ87" s="4">
        <v>115</v>
      </c>
      <c r="CK87" s="4">
        <v>115</v>
      </c>
      <c r="CL87" s="4">
        <v>115</v>
      </c>
      <c r="CM87" s="4">
        <v>115</v>
      </c>
      <c r="CN87" s="4">
        <v>115</v>
      </c>
      <c r="CO87" s="4">
        <v>115</v>
      </c>
      <c r="CP87" s="4">
        <v>115</v>
      </c>
      <c r="CQ87" s="4">
        <v>115</v>
      </c>
      <c r="CR87" s="4">
        <v>115</v>
      </c>
      <c r="CS87" s="4">
        <v>115</v>
      </c>
      <c r="CT87" s="4">
        <v>115</v>
      </c>
      <c r="CU87" s="4">
        <v>115</v>
      </c>
      <c r="CV87" s="4">
        <v>115</v>
      </c>
      <c r="CW87" s="4">
        <v>115</v>
      </c>
      <c r="CX87" s="4">
        <v>100</v>
      </c>
      <c r="CY87" s="4">
        <v>100</v>
      </c>
      <c r="CZ87" s="4">
        <v>115</v>
      </c>
      <c r="DA87" s="4">
        <v>115</v>
      </c>
      <c r="DB87" s="4">
        <v>115</v>
      </c>
      <c r="DC87" s="4">
        <v>115</v>
      </c>
      <c r="DD87" s="4">
        <v>115</v>
      </c>
      <c r="DE87" s="4">
        <v>115</v>
      </c>
      <c r="DF87" s="4">
        <v>115</v>
      </c>
      <c r="DG87" s="4">
        <v>115</v>
      </c>
      <c r="DH87" s="4">
        <v>115</v>
      </c>
      <c r="DI87" s="4">
        <v>115</v>
      </c>
      <c r="DJ87" s="4">
        <v>115</v>
      </c>
      <c r="DK87" s="4">
        <v>115</v>
      </c>
      <c r="DL87" s="4">
        <v>115</v>
      </c>
      <c r="DM87" s="4">
        <v>115</v>
      </c>
      <c r="DN87" s="4">
        <v>115</v>
      </c>
      <c r="DO87" s="4">
        <v>115</v>
      </c>
      <c r="DP87" s="4">
        <v>115</v>
      </c>
      <c r="DQ87" s="4">
        <v>115</v>
      </c>
      <c r="DR87" s="4">
        <v>115</v>
      </c>
      <c r="DS87" s="4">
        <v>115</v>
      </c>
      <c r="DT87" s="4">
        <v>115</v>
      </c>
      <c r="DU87" s="4">
        <v>115</v>
      </c>
      <c r="DV87" s="4">
        <v>115</v>
      </c>
      <c r="DW87" s="4">
        <v>115</v>
      </c>
      <c r="DX87" s="4">
        <v>115</v>
      </c>
      <c r="DY87" s="4">
        <v>115</v>
      </c>
      <c r="DZ87" s="4">
        <v>115</v>
      </c>
      <c r="EA87" s="4">
        <v>100</v>
      </c>
      <c r="EB87" s="4">
        <v>100</v>
      </c>
      <c r="EC87" s="4">
        <v>115</v>
      </c>
      <c r="ED87" s="4">
        <v>115</v>
      </c>
      <c r="EE87" s="4">
        <v>115</v>
      </c>
      <c r="EF87" s="4">
        <v>113</v>
      </c>
      <c r="EG87" s="4">
        <v>115</v>
      </c>
      <c r="EH87" s="4">
        <v>115</v>
      </c>
      <c r="EI87" s="4">
        <v>115</v>
      </c>
      <c r="EJ87" s="4">
        <v>115</v>
      </c>
      <c r="EK87" s="4">
        <v>115</v>
      </c>
      <c r="EL87" s="4">
        <v>115</v>
      </c>
      <c r="EM87" s="4">
        <v>114</v>
      </c>
      <c r="EN87" s="4">
        <v>115</v>
      </c>
      <c r="EO87" s="4">
        <v>115</v>
      </c>
      <c r="EP87" s="4">
        <v>115</v>
      </c>
      <c r="EQ87" s="4">
        <v>115</v>
      </c>
      <c r="ER87" s="4">
        <v>115</v>
      </c>
      <c r="ES87" s="4">
        <v>115</v>
      </c>
      <c r="ET87" s="4">
        <v>115</v>
      </c>
      <c r="EU87" s="4">
        <v>115</v>
      </c>
      <c r="EV87" s="4">
        <v>115</v>
      </c>
      <c r="EW87" s="4">
        <v>115</v>
      </c>
      <c r="EX87" s="4">
        <v>115</v>
      </c>
      <c r="EY87" s="4">
        <v>115</v>
      </c>
      <c r="EZ87" s="4">
        <v>115</v>
      </c>
      <c r="FA87" s="4">
        <v>115</v>
      </c>
      <c r="FB87" s="4">
        <v>115</v>
      </c>
      <c r="FC87" s="4">
        <v>115</v>
      </c>
      <c r="FD87" s="4">
        <v>100</v>
      </c>
      <c r="FE87" s="4">
        <v>100</v>
      </c>
      <c r="FF87" s="4">
        <v>115</v>
      </c>
      <c r="FG87" s="4">
        <v>115</v>
      </c>
      <c r="FH87" s="4">
        <v>115</v>
      </c>
      <c r="FI87" s="4">
        <v>112</v>
      </c>
      <c r="FJ87" s="4">
        <v>115</v>
      </c>
      <c r="FK87" s="4">
        <v>115</v>
      </c>
      <c r="FL87" s="4">
        <v>115</v>
      </c>
      <c r="FM87" s="4">
        <v>115</v>
      </c>
      <c r="FN87" s="4">
        <v>115</v>
      </c>
      <c r="FO87" s="4">
        <v>115</v>
      </c>
      <c r="FP87" s="4">
        <v>115</v>
      </c>
      <c r="FQ87" s="4">
        <v>115</v>
      </c>
      <c r="FR87" s="4">
        <v>115</v>
      </c>
      <c r="FS87" s="4">
        <v>115</v>
      </c>
      <c r="FT87" s="4">
        <v>115</v>
      </c>
      <c r="FU87" s="4">
        <v>115</v>
      </c>
      <c r="FV87" s="4">
        <v>115</v>
      </c>
      <c r="FW87" s="4">
        <v>115</v>
      </c>
      <c r="FX87" s="4">
        <v>115</v>
      </c>
      <c r="FY87" s="4">
        <v>115</v>
      </c>
      <c r="FZ87" s="4">
        <v>115</v>
      </c>
      <c r="GA87" s="4">
        <v>115</v>
      </c>
      <c r="GB87" s="4">
        <v>115</v>
      </c>
      <c r="GC87" s="4">
        <v>115</v>
      </c>
      <c r="GD87" s="4">
        <v>115</v>
      </c>
      <c r="GE87" s="4">
        <v>115</v>
      </c>
      <c r="GF87" s="4">
        <v>115</v>
      </c>
      <c r="GG87" s="4">
        <v>100</v>
      </c>
      <c r="GH87" s="4">
        <v>100</v>
      </c>
      <c r="GJ87" s="4">
        <v>73</v>
      </c>
      <c r="GK87" s="4">
        <v>2</v>
      </c>
      <c r="GL87" s="4">
        <v>25</v>
      </c>
      <c r="GP87" s="4">
        <v>12</v>
      </c>
      <c r="GQ87" s="4">
        <v>9</v>
      </c>
      <c r="GT87" s="4">
        <v>-50</v>
      </c>
      <c r="GU87" s="4">
        <v>-5</v>
      </c>
      <c r="HH87" s="66"/>
      <c r="HI87" s="66"/>
      <c r="HJ87" s="66"/>
      <c r="HK87" s="66"/>
      <c r="IT87" s="4">
        <v>17</v>
      </c>
      <c r="IU87" s="4" t="s">
        <v>61</v>
      </c>
    </row>
    <row r="88" spans="1:255" x14ac:dyDescent="0.25">
      <c r="A88" s="4" t="s">
        <v>106</v>
      </c>
      <c r="E88" s="4">
        <f>SUM(B54*3+C65*2+E48*2+E51*3+E52+E54*2+J49+I55+I57+I60*3+J61*2+J65+L51+L62+P45+O47*2+O60*3+R58*2+S64*2)</f>
        <v>9</v>
      </c>
      <c r="I88" s="28" t="s">
        <v>107</v>
      </c>
      <c r="J88" s="29"/>
      <c r="K88" s="6"/>
      <c r="L88" s="6"/>
      <c r="M88" s="6"/>
      <c r="N88" s="2">
        <f t="shared" si="0"/>
        <v>40</v>
      </c>
      <c r="O88" s="2">
        <f>LOOKUP(O104,FE109:FE112,FU109:FU112)</f>
        <v>73</v>
      </c>
      <c r="P88" s="6"/>
      <c r="Q88" s="2">
        <f t="shared" si="11"/>
        <v>73</v>
      </c>
      <c r="R88" s="2"/>
      <c r="S88" s="2"/>
      <c r="T88" s="2"/>
      <c r="U88" s="2"/>
      <c r="V88" s="47"/>
      <c r="W88" s="47"/>
      <c r="X88" s="47"/>
      <c r="Y88" s="47"/>
      <c r="Z88" s="47"/>
      <c r="AA88" s="47"/>
      <c r="AB88" s="47"/>
      <c r="AC88" s="47"/>
      <c r="AD88" s="47"/>
      <c r="AE88" s="2"/>
      <c r="AF88" s="2">
        <f>Q88+GN83</f>
        <v>74</v>
      </c>
      <c r="AG88" s="2"/>
      <c r="AH88" s="2">
        <f t="shared" si="12"/>
        <v>0</v>
      </c>
      <c r="AI88" s="2">
        <f t="shared" si="13"/>
        <v>0</v>
      </c>
      <c r="AJ88" s="2">
        <f t="shared" si="14"/>
        <v>0</v>
      </c>
      <c r="AK88" s="2"/>
      <c r="AL88" s="2">
        <f t="shared" si="10"/>
        <v>74</v>
      </c>
      <c r="AM88" s="2"/>
      <c r="AN88" s="2"/>
      <c r="AO88" s="2">
        <f>AL88</f>
        <v>74</v>
      </c>
      <c r="AP88" s="2"/>
      <c r="AQ88" s="2"/>
      <c r="AR88" s="2"/>
      <c r="AS88" s="2"/>
      <c r="AT88" s="2">
        <f>AO88</f>
        <v>74</v>
      </c>
      <c r="AU88" s="54">
        <f t="shared" si="15"/>
        <v>74</v>
      </c>
      <c r="AV88" s="56" t="str">
        <f>LOOKUP(AU88,IT70:IU185)</f>
        <v>Tema ligeramente problemático</v>
      </c>
      <c r="AZ88" s="4" t="s">
        <v>108</v>
      </c>
      <c r="BE88" s="4" t="s">
        <v>109</v>
      </c>
      <c r="BN88" s="4">
        <v>1</v>
      </c>
      <c r="BO88" s="4">
        <v>1</v>
      </c>
      <c r="BT88" s="4" t="e">
        <f>LOOKUP(T74,BT85:BU86)</f>
        <v>#N/A</v>
      </c>
      <c r="BV88" s="4">
        <v>72</v>
      </c>
      <c r="BW88" s="4">
        <v>115</v>
      </c>
      <c r="BX88" s="4">
        <v>115</v>
      </c>
      <c r="BY88" s="4">
        <v>115</v>
      </c>
      <c r="BZ88" s="4">
        <v>114</v>
      </c>
      <c r="CA88" s="4">
        <v>115</v>
      </c>
      <c r="CB88" s="4">
        <v>115</v>
      </c>
      <c r="CC88" s="4">
        <v>115</v>
      </c>
      <c r="CD88" s="4">
        <v>115</v>
      </c>
      <c r="CE88" s="4">
        <v>115</v>
      </c>
      <c r="CF88" s="4">
        <v>115</v>
      </c>
      <c r="CG88" s="4">
        <v>115</v>
      </c>
      <c r="CH88" s="4">
        <v>115</v>
      </c>
      <c r="CI88" s="4">
        <v>115</v>
      </c>
      <c r="CJ88" s="4">
        <v>115</v>
      </c>
      <c r="CK88" s="4">
        <v>115</v>
      </c>
      <c r="CL88" s="4">
        <v>115</v>
      </c>
      <c r="CM88" s="4">
        <v>115</v>
      </c>
      <c r="CN88" s="4">
        <v>115</v>
      </c>
      <c r="CO88" s="4">
        <v>115</v>
      </c>
      <c r="CP88" s="4">
        <v>115</v>
      </c>
      <c r="CQ88" s="4">
        <v>115</v>
      </c>
      <c r="CR88" s="4">
        <v>115</v>
      </c>
      <c r="CS88" s="4">
        <v>115</v>
      </c>
      <c r="CT88" s="4">
        <v>115</v>
      </c>
      <c r="CU88" s="4">
        <v>115</v>
      </c>
      <c r="CV88" s="4">
        <v>115</v>
      </c>
      <c r="CW88" s="4">
        <v>115</v>
      </c>
      <c r="CX88" s="4">
        <v>100</v>
      </c>
      <c r="CY88" s="4">
        <v>100</v>
      </c>
      <c r="CZ88" s="4">
        <v>115</v>
      </c>
      <c r="DA88" s="4">
        <v>115</v>
      </c>
      <c r="DB88" s="4">
        <v>115</v>
      </c>
      <c r="DC88" s="4">
        <v>115</v>
      </c>
      <c r="DD88" s="4">
        <v>115</v>
      </c>
      <c r="DE88" s="4">
        <v>115</v>
      </c>
      <c r="DF88" s="4">
        <v>115</v>
      </c>
      <c r="DG88" s="4">
        <v>115</v>
      </c>
      <c r="DH88" s="4">
        <v>115</v>
      </c>
      <c r="DI88" s="4">
        <v>115</v>
      </c>
      <c r="DJ88" s="4">
        <v>115</v>
      </c>
      <c r="DK88" s="4">
        <v>115</v>
      </c>
      <c r="DL88" s="4">
        <v>115</v>
      </c>
      <c r="DM88" s="4">
        <v>115</v>
      </c>
      <c r="DN88" s="4">
        <v>115</v>
      </c>
      <c r="DO88" s="4">
        <v>115</v>
      </c>
      <c r="DP88" s="4">
        <v>115</v>
      </c>
      <c r="DQ88" s="4">
        <v>115</v>
      </c>
      <c r="DR88" s="4">
        <v>115</v>
      </c>
      <c r="DS88" s="4">
        <v>115</v>
      </c>
      <c r="DT88" s="4">
        <v>115</v>
      </c>
      <c r="DU88" s="4">
        <v>115</v>
      </c>
      <c r="DV88" s="4">
        <v>115</v>
      </c>
      <c r="DW88" s="4">
        <v>115</v>
      </c>
      <c r="DX88" s="4">
        <v>115</v>
      </c>
      <c r="DY88" s="4">
        <v>115</v>
      </c>
      <c r="DZ88" s="4">
        <v>115</v>
      </c>
      <c r="EA88" s="4">
        <v>100</v>
      </c>
      <c r="EB88" s="4">
        <v>100</v>
      </c>
      <c r="EC88" s="4">
        <v>115</v>
      </c>
      <c r="ED88" s="4">
        <v>115</v>
      </c>
      <c r="EE88" s="4">
        <v>115</v>
      </c>
      <c r="EF88" s="4">
        <v>113</v>
      </c>
      <c r="EG88" s="4">
        <v>115</v>
      </c>
      <c r="EH88" s="4">
        <v>115</v>
      </c>
      <c r="EI88" s="4">
        <v>115</v>
      </c>
      <c r="EJ88" s="4">
        <v>115</v>
      </c>
      <c r="EK88" s="4">
        <v>115</v>
      </c>
      <c r="EL88" s="4">
        <v>115</v>
      </c>
      <c r="EM88" s="4">
        <v>115</v>
      </c>
      <c r="EN88" s="4">
        <v>115</v>
      </c>
      <c r="EO88" s="4">
        <v>115</v>
      </c>
      <c r="EP88" s="4">
        <v>115</v>
      </c>
      <c r="EQ88" s="4">
        <v>115</v>
      </c>
      <c r="ER88" s="4">
        <v>115</v>
      </c>
      <c r="ES88" s="4">
        <v>115</v>
      </c>
      <c r="ET88" s="4">
        <v>115</v>
      </c>
      <c r="EU88" s="4">
        <v>115</v>
      </c>
      <c r="EV88" s="4">
        <v>115</v>
      </c>
      <c r="EW88" s="4">
        <v>115</v>
      </c>
      <c r="EX88" s="4">
        <v>115</v>
      </c>
      <c r="EY88" s="4">
        <v>115</v>
      </c>
      <c r="EZ88" s="4">
        <v>115</v>
      </c>
      <c r="FA88" s="4">
        <v>115</v>
      </c>
      <c r="FB88" s="4">
        <v>115</v>
      </c>
      <c r="FC88" s="4">
        <v>115</v>
      </c>
      <c r="FD88" s="4">
        <v>100</v>
      </c>
      <c r="FE88" s="4">
        <v>100</v>
      </c>
      <c r="FF88" s="4">
        <v>115</v>
      </c>
      <c r="FG88" s="4">
        <v>115</v>
      </c>
      <c r="FH88" s="4">
        <v>115</v>
      </c>
      <c r="FI88" s="4">
        <v>113</v>
      </c>
      <c r="FJ88" s="4">
        <v>115</v>
      </c>
      <c r="FK88" s="4">
        <v>115</v>
      </c>
      <c r="FL88" s="4">
        <v>115</v>
      </c>
      <c r="FM88" s="4">
        <v>115</v>
      </c>
      <c r="FN88" s="4">
        <v>115</v>
      </c>
      <c r="FO88" s="4">
        <v>115</v>
      </c>
      <c r="FP88" s="4">
        <v>115</v>
      </c>
      <c r="FQ88" s="4">
        <v>115</v>
      </c>
      <c r="FR88" s="4">
        <v>115</v>
      </c>
      <c r="FS88" s="4">
        <v>115</v>
      </c>
      <c r="FT88" s="4">
        <v>115</v>
      </c>
      <c r="FU88" s="4">
        <v>115</v>
      </c>
      <c r="FV88" s="4">
        <v>115</v>
      </c>
      <c r="FW88" s="4">
        <v>115</v>
      </c>
      <c r="FX88" s="4">
        <v>115</v>
      </c>
      <c r="FY88" s="4">
        <v>115</v>
      </c>
      <c r="FZ88" s="4">
        <v>115</v>
      </c>
      <c r="GA88" s="4">
        <v>115</v>
      </c>
      <c r="GB88" s="4">
        <v>115</v>
      </c>
      <c r="GC88" s="4">
        <v>115</v>
      </c>
      <c r="GD88" s="4">
        <v>115</v>
      </c>
      <c r="GE88" s="4">
        <v>115</v>
      </c>
      <c r="GF88" s="4">
        <v>115</v>
      </c>
      <c r="GG88" s="4">
        <v>100</v>
      </c>
      <c r="GH88" s="4">
        <v>100</v>
      </c>
      <c r="GJ88" s="4">
        <v>74</v>
      </c>
      <c r="GK88" s="4">
        <v>2</v>
      </c>
      <c r="GL88" s="4">
        <v>25</v>
      </c>
      <c r="GP88" s="4">
        <v>13</v>
      </c>
      <c r="GQ88" s="4">
        <v>10</v>
      </c>
      <c r="GT88" s="4">
        <v>-49</v>
      </c>
      <c r="GU88" s="4">
        <v>-5</v>
      </c>
      <c r="HH88" s="66"/>
      <c r="HI88" s="66"/>
      <c r="HJ88" s="66"/>
      <c r="HK88" s="66"/>
      <c r="IT88" s="4">
        <v>18</v>
      </c>
      <c r="IU88" s="4" t="s">
        <v>61</v>
      </c>
    </row>
    <row r="89" spans="1:255" x14ac:dyDescent="0.25">
      <c r="A89" s="4" t="s">
        <v>110</v>
      </c>
      <c r="E89" s="4">
        <f>SUM(C46*3+B51+C55+C56*2+B59+C61+B62+F42*2+E44+E53*3+F54+E55*2+E57*2+F61*2+E65*3+J42+I43*2+I48+I51*3+J54+I59*2+J62+L44+M47*3+M50*2+L52+L60+M65*2)</f>
        <v>24</v>
      </c>
      <c r="F89" s="4">
        <f>SUM(O45*2+O52*2+O58*2+S43*2+R44*2+R51*2+S56+R59+R62+Y44+X48*2)</f>
        <v>4</v>
      </c>
      <c r="I89" s="28" t="s">
        <v>111</v>
      </c>
      <c r="J89" s="29"/>
      <c r="K89" s="6"/>
      <c r="L89" s="6"/>
      <c r="M89" s="6"/>
      <c r="N89" s="2">
        <f t="shared" si="0"/>
        <v>9</v>
      </c>
      <c r="O89" s="2">
        <f>LOOKUP(O104,FE109:FE112,FV109:FV112)</f>
        <v>47</v>
      </c>
      <c r="P89" s="6"/>
      <c r="Q89" s="2">
        <f t="shared" si="11"/>
        <v>47</v>
      </c>
      <c r="R89" s="2"/>
      <c r="S89" s="2"/>
      <c r="T89" s="2"/>
      <c r="U89" s="2"/>
      <c r="V89" s="47"/>
      <c r="W89" s="47"/>
      <c r="X89" s="47"/>
      <c r="Y89" s="47"/>
      <c r="Z89" s="47"/>
      <c r="AA89" s="47"/>
      <c r="AB89" s="47"/>
      <c r="AC89" s="47"/>
      <c r="AD89" s="47"/>
      <c r="AE89" s="2"/>
      <c r="AF89" s="2">
        <f>Q89+GN83</f>
        <v>48</v>
      </c>
      <c r="AG89" s="2"/>
      <c r="AH89" s="2">
        <f t="shared" si="12"/>
        <v>0</v>
      </c>
      <c r="AI89" s="2">
        <f t="shared" si="13"/>
        <v>0</v>
      </c>
      <c r="AJ89" s="2">
        <f t="shared" si="14"/>
        <v>0</v>
      </c>
      <c r="AK89" s="2"/>
      <c r="AL89" s="2">
        <f t="shared" si="10"/>
        <v>48</v>
      </c>
      <c r="AM89" s="2"/>
      <c r="AN89" s="2"/>
      <c r="AO89" s="2">
        <f>AL89</f>
        <v>48</v>
      </c>
      <c r="AP89" s="2"/>
      <c r="AQ89" s="2"/>
      <c r="AR89" s="2"/>
      <c r="AS89" s="2"/>
      <c r="AT89" s="2">
        <f>AO89</f>
        <v>48</v>
      </c>
      <c r="AU89" s="54">
        <f t="shared" si="15"/>
        <v>48</v>
      </c>
      <c r="AV89" s="56" t="str">
        <f>LOOKUP(AU89,IT70:IU185)</f>
        <v>Indicador nulo</v>
      </c>
      <c r="AZ89" s="4">
        <v>1</v>
      </c>
      <c r="BA89" s="4">
        <v>1</v>
      </c>
      <c r="BE89" s="4">
        <v>1</v>
      </c>
      <c r="BF89" s="4">
        <v>1</v>
      </c>
      <c r="BN89" s="4">
        <v>2</v>
      </c>
      <c r="BO89" s="4">
        <v>115</v>
      </c>
      <c r="BT89" s="4" t="e">
        <f>LOOKUP(T75,BT85:BU86)</f>
        <v>#N/A</v>
      </c>
      <c r="BV89" s="4">
        <v>73</v>
      </c>
      <c r="BW89" s="4">
        <v>115</v>
      </c>
      <c r="BX89" s="4">
        <v>115</v>
      </c>
      <c r="BY89" s="4">
        <v>115</v>
      </c>
      <c r="BZ89" s="4">
        <v>115</v>
      </c>
      <c r="CA89" s="4">
        <v>115</v>
      </c>
      <c r="CB89" s="4">
        <v>115</v>
      </c>
      <c r="CC89" s="4">
        <v>115</v>
      </c>
      <c r="CD89" s="4">
        <v>115</v>
      </c>
      <c r="CE89" s="4">
        <v>115</v>
      </c>
      <c r="CF89" s="4">
        <v>115</v>
      </c>
      <c r="CG89" s="4">
        <v>115</v>
      </c>
      <c r="CH89" s="4">
        <v>115</v>
      </c>
      <c r="CI89" s="4">
        <v>115</v>
      </c>
      <c r="CJ89" s="4">
        <v>115</v>
      </c>
      <c r="CK89" s="4">
        <v>115</v>
      </c>
      <c r="CL89" s="4">
        <v>115</v>
      </c>
      <c r="CM89" s="4">
        <v>115</v>
      </c>
      <c r="CN89" s="4">
        <v>115</v>
      </c>
      <c r="CO89" s="4">
        <v>115</v>
      </c>
      <c r="CP89" s="4">
        <v>115</v>
      </c>
      <c r="CQ89" s="4">
        <v>115</v>
      </c>
      <c r="CR89" s="4">
        <v>115</v>
      </c>
      <c r="CS89" s="4">
        <v>115</v>
      </c>
      <c r="CT89" s="4">
        <v>115</v>
      </c>
      <c r="CU89" s="4">
        <v>115</v>
      </c>
      <c r="CV89" s="4">
        <v>115</v>
      </c>
      <c r="CW89" s="4">
        <v>115</v>
      </c>
      <c r="CX89" s="4">
        <v>100</v>
      </c>
      <c r="CY89" s="4">
        <v>100</v>
      </c>
      <c r="CZ89" s="4">
        <v>115</v>
      </c>
      <c r="DA89" s="4">
        <v>115</v>
      </c>
      <c r="DB89" s="4">
        <v>115</v>
      </c>
      <c r="DC89" s="4">
        <v>115</v>
      </c>
      <c r="DD89" s="4">
        <v>115</v>
      </c>
      <c r="DE89" s="4">
        <v>115</v>
      </c>
      <c r="DF89" s="4">
        <v>115</v>
      </c>
      <c r="DG89" s="4">
        <v>115</v>
      </c>
      <c r="DH89" s="4">
        <v>115</v>
      </c>
      <c r="DI89" s="4">
        <v>115</v>
      </c>
      <c r="DJ89" s="4">
        <v>115</v>
      </c>
      <c r="DK89" s="4">
        <v>115</v>
      </c>
      <c r="DL89" s="4">
        <v>115</v>
      </c>
      <c r="DM89" s="4">
        <v>115</v>
      </c>
      <c r="DN89" s="4">
        <v>115</v>
      </c>
      <c r="DO89" s="4">
        <v>115</v>
      </c>
      <c r="DP89" s="4">
        <v>115</v>
      </c>
      <c r="DQ89" s="4">
        <v>115</v>
      </c>
      <c r="DR89" s="4">
        <v>115</v>
      </c>
      <c r="DS89" s="4">
        <v>115</v>
      </c>
      <c r="DT89" s="4">
        <v>115</v>
      </c>
      <c r="DU89" s="4">
        <v>115</v>
      </c>
      <c r="DV89" s="4">
        <v>115</v>
      </c>
      <c r="DW89" s="4">
        <v>115</v>
      </c>
      <c r="DX89" s="4">
        <v>115</v>
      </c>
      <c r="DY89" s="4">
        <v>115</v>
      </c>
      <c r="DZ89" s="4">
        <v>115</v>
      </c>
      <c r="EA89" s="4">
        <v>100</v>
      </c>
      <c r="EB89" s="4">
        <v>100</v>
      </c>
      <c r="EC89" s="4">
        <v>115</v>
      </c>
      <c r="ED89" s="4">
        <v>115</v>
      </c>
      <c r="EE89" s="4">
        <v>115</v>
      </c>
      <c r="EF89" s="4">
        <v>114</v>
      </c>
      <c r="EG89" s="4">
        <v>115</v>
      </c>
      <c r="EH89" s="4">
        <v>115</v>
      </c>
      <c r="EI89" s="4">
        <v>115</v>
      </c>
      <c r="EJ89" s="4">
        <v>115</v>
      </c>
      <c r="EK89" s="4">
        <v>115</v>
      </c>
      <c r="EL89" s="4">
        <v>115</v>
      </c>
      <c r="EM89" s="4">
        <v>115</v>
      </c>
      <c r="EN89" s="4">
        <v>115</v>
      </c>
      <c r="EO89" s="4">
        <v>115</v>
      </c>
      <c r="EP89" s="4">
        <v>115</v>
      </c>
      <c r="EQ89" s="4">
        <v>115</v>
      </c>
      <c r="ER89" s="4">
        <v>115</v>
      </c>
      <c r="ES89" s="4">
        <v>115</v>
      </c>
      <c r="ET89" s="4">
        <v>115</v>
      </c>
      <c r="EU89" s="4">
        <v>115</v>
      </c>
      <c r="EV89" s="4">
        <v>115</v>
      </c>
      <c r="EW89" s="4">
        <v>115</v>
      </c>
      <c r="EX89" s="4">
        <v>115</v>
      </c>
      <c r="EY89" s="4">
        <v>115</v>
      </c>
      <c r="EZ89" s="4">
        <v>115</v>
      </c>
      <c r="FA89" s="4">
        <v>115</v>
      </c>
      <c r="FB89" s="4">
        <v>115</v>
      </c>
      <c r="FC89" s="4">
        <v>115</v>
      </c>
      <c r="FD89" s="4">
        <v>100</v>
      </c>
      <c r="FE89" s="4">
        <v>100</v>
      </c>
      <c r="FF89" s="4">
        <v>115</v>
      </c>
      <c r="FG89" s="4">
        <v>115</v>
      </c>
      <c r="FH89" s="4">
        <v>115</v>
      </c>
      <c r="FI89" s="4">
        <v>115</v>
      </c>
      <c r="FJ89" s="4">
        <v>115</v>
      </c>
      <c r="FK89" s="4">
        <v>115</v>
      </c>
      <c r="FL89" s="4">
        <v>115</v>
      </c>
      <c r="FM89" s="4">
        <v>115</v>
      </c>
      <c r="FN89" s="4">
        <v>115</v>
      </c>
      <c r="FO89" s="4">
        <v>115</v>
      </c>
      <c r="FP89" s="4">
        <v>115</v>
      </c>
      <c r="FQ89" s="4">
        <v>115</v>
      </c>
      <c r="FR89" s="4">
        <v>115</v>
      </c>
      <c r="FS89" s="4">
        <v>115</v>
      </c>
      <c r="FT89" s="4">
        <v>115</v>
      </c>
      <c r="FU89" s="4">
        <v>115</v>
      </c>
      <c r="FV89" s="4">
        <v>115</v>
      </c>
      <c r="FW89" s="4">
        <v>115</v>
      </c>
      <c r="FX89" s="4">
        <v>115</v>
      </c>
      <c r="FY89" s="4">
        <v>115</v>
      </c>
      <c r="FZ89" s="4">
        <v>115</v>
      </c>
      <c r="GA89" s="4">
        <v>115</v>
      </c>
      <c r="GB89" s="4">
        <v>115</v>
      </c>
      <c r="GC89" s="4">
        <v>115</v>
      </c>
      <c r="GD89" s="4">
        <v>115</v>
      </c>
      <c r="GE89" s="4">
        <v>115</v>
      </c>
      <c r="GF89" s="4">
        <v>115</v>
      </c>
      <c r="GG89" s="4">
        <v>100</v>
      </c>
      <c r="GH89" s="4">
        <v>100</v>
      </c>
      <c r="GJ89" s="4">
        <v>75</v>
      </c>
      <c r="GK89" s="4">
        <v>2</v>
      </c>
      <c r="GL89" s="4">
        <v>25</v>
      </c>
      <c r="GP89" s="4">
        <v>14</v>
      </c>
      <c r="GQ89" s="4">
        <v>10</v>
      </c>
      <c r="GT89" s="4">
        <v>-48</v>
      </c>
      <c r="GU89" s="4">
        <v>-5</v>
      </c>
      <c r="HH89" s="66"/>
      <c r="HI89" s="66"/>
      <c r="HJ89" s="66"/>
      <c r="HK89" s="66"/>
      <c r="IT89" s="4">
        <v>19</v>
      </c>
      <c r="IU89" s="4" t="s">
        <v>61</v>
      </c>
    </row>
    <row r="90" spans="1:255" x14ac:dyDescent="0.25">
      <c r="A90" s="4" t="s">
        <v>112</v>
      </c>
      <c r="E90" s="4">
        <f>SUM(C47*3+C50+C54+C58+B59+B62+B63+C64+B65+F43*3+F51+F52+I44*3+I47+I55*2+I61+I65+L43+L49*3+L58*2+L61*2+M62*2+O44+R51+S58+R64*2+R65*2+X49*3)</f>
        <v>12</v>
      </c>
      <c r="I90" s="28" t="s">
        <v>113</v>
      </c>
      <c r="J90" s="29"/>
      <c r="K90" s="6"/>
      <c r="L90" s="6"/>
      <c r="M90" s="6"/>
      <c r="N90" s="2">
        <f t="shared" si="0"/>
        <v>28</v>
      </c>
      <c r="O90" s="2">
        <f>LOOKUP(O104,FE109:FE112,FW109:FW112)</f>
        <v>81</v>
      </c>
      <c r="P90" s="6"/>
      <c r="Q90" s="2">
        <f t="shared" si="11"/>
        <v>81</v>
      </c>
      <c r="R90" s="2"/>
      <c r="S90" s="2"/>
      <c r="T90" s="2"/>
      <c r="U90" s="2"/>
      <c r="V90" s="47"/>
      <c r="W90" s="47"/>
      <c r="X90" s="47"/>
      <c r="Y90" s="47"/>
      <c r="Z90" s="47"/>
      <c r="AA90" s="47"/>
      <c r="AB90" s="47"/>
      <c r="AC90" s="47"/>
      <c r="AD90" s="47"/>
      <c r="AE90" s="2"/>
      <c r="AF90" s="2">
        <f>Q90+GN86</f>
        <v>81</v>
      </c>
      <c r="AG90" s="2"/>
      <c r="AH90" s="2">
        <f t="shared" si="12"/>
        <v>0</v>
      </c>
      <c r="AI90" s="2">
        <f t="shared" si="13"/>
        <v>0</v>
      </c>
      <c r="AJ90" s="2">
        <f t="shared" si="14"/>
        <v>0</v>
      </c>
      <c r="AK90" s="2"/>
      <c r="AL90" s="2">
        <f t="shared" si="10"/>
        <v>81</v>
      </c>
      <c r="AM90" s="2"/>
      <c r="AN90" s="2"/>
      <c r="AO90" s="2">
        <f>AL90</f>
        <v>81</v>
      </c>
      <c r="AP90" s="2"/>
      <c r="AQ90" s="2"/>
      <c r="AR90" s="2"/>
      <c r="AS90" s="2"/>
      <c r="AT90" s="2">
        <f>AO90</f>
        <v>81</v>
      </c>
      <c r="AU90" s="54">
        <f t="shared" si="15"/>
        <v>81</v>
      </c>
      <c r="AV90" s="56" t="str">
        <f>LOOKUP(AU90,IT70:IU185)</f>
        <v>Área problemática</v>
      </c>
      <c r="AZ90" s="4">
        <v>2</v>
      </c>
      <c r="BA90" s="4">
        <v>115</v>
      </c>
      <c r="BE90" s="4">
        <v>2</v>
      </c>
      <c r="BF90" s="4">
        <v>115</v>
      </c>
      <c r="BN90" s="4" t="e">
        <f>LOOKUP(AA74,BN88:BO89)</f>
        <v>#N/A</v>
      </c>
      <c r="BT90" s="4" t="e">
        <f>LOOKUP(T76,BT85:BU86)</f>
        <v>#N/A</v>
      </c>
      <c r="BV90" s="4">
        <v>74</v>
      </c>
      <c r="BW90" s="4">
        <v>115</v>
      </c>
      <c r="BX90" s="4">
        <v>115</v>
      </c>
      <c r="BY90" s="4">
        <v>115</v>
      </c>
      <c r="BZ90" s="4">
        <v>115</v>
      </c>
      <c r="CA90" s="4">
        <v>115</v>
      </c>
      <c r="CB90" s="4">
        <v>115</v>
      </c>
      <c r="CC90" s="4">
        <v>115</v>
      </c>
      <c r="CD90" s="4">
        <v>115</v>
      </c>
      <c r="CE90" s="4">
        <v>115</v>
      </c>
      <c r="CF90" s="4">
        <v>115</v>
      </c>
      <c r="CG90" s="4">
        <v>115</v>
      </c>
      <c r="CH90" s="4">
        <v>115</v>
      </c>
      <c r="CI90" s="4">
        <v>115</v>
      </c>
      <c r="CJ90" s="4">
        <v>115</v>
      </c>
      <c r="CK90" s="4">
        <v>115</v>
      </c>
      <c r="CL90" s="4">
        <v>115</v>
      </c>
      <c r="CM90" s="4">
        <v>115</v>
      </c>
      <c r="CN90" s="4">
        <v>115</v>
      </c>
      <c r="CO90" s="4">
        <v>115</v>
      </c>
      <c r="CP90" s="4">
        <v>115</v>
      </c>
      <c r="CQ90" s="4">
        <v>115</v>
      </c>
      <c r="CR90" s="4">
        <v>115</v>
      </c>
      <c r="CS90" s="4">
        <v>115</v>
      </c>
      <c r="CT90" s="4">
        <v>115</v>
      </c>
      <c r="CU90" s="4">
        <v>115</v>
      </c>
      <c r="CV90" s="4">
        <v>115</v>
      </c>
      <c r="CW90" s="4">
        <v>115</v>
      </c>
      <c r="CX90" s="4">
        <v>100</v>
      </c>
      <c r="CY90" s="4">
        <v>100</v>
      </c>
      <c r="CZ90" s="4">
        <v>115</v>
      </c>
      <c r="DA90" s="4">
        <v>115</v>
      </c>
      <c r="DB90" s="4">
        <v>115</v>
      </c>
      <c r="DC90" s="4">
        <v>115</v>
      </c>
      <c r="DD90" s="4">
        <v>115</v>
      </c>
      <c r="DE90" s="4">
        <v>115</v>
      </c>
      <c r="DF90" s="4">
        <v>115</v>
      </c>
      <c r="DG90" s="4">
        <v>115</v>
      </c>
      <c r="DH90" s="4">
        <v>115</v>
      </c>
      <c r="DI90" s="4">
        <v>115</v>
      </c>
      <c r="DJ90" s="4">
        <v>115</v>
      </c>
      <c r="DK90" s="4">
        <v>115</v>
      </c>
      <c r="DL90" s="4">
        <v>115</v>
      </c>
      <c r="DM90" s="4">
        <v>115</v>
      </c>
      <c r="DN90" s="4">
        <v>115</v>
      </c>
      <c r="DO90" s="4">
        <v>115</v>
      </c>
      <c r="DP90" s="4">
        <v>115</v>
      </c>
      <c r="DQ90" s="4">
        <v>115</v>
      </c>
      <c r="DR90" s="4">
        <v>115</v>
      </c>
      <c r="DS90" s="4">
        <v>115</v>
      </c>
      <c r="DT90" s="4">
        <v>115</v>
      </c>
      <c r="DU90" s="4">
        <v>115</v>
      </c>
      <c r="DV90" s="4">
        <v>115</v>
      </c>
      <c r="DW90" s="4">
        <v>115</v>
      </c>
      <c r="DX90" s="4">
        <v>115</v>
      </c>
      <c r="DY90" s="4">
        <v>115</v>
      </c>
      <c r="DZ90" s="4">
        <v>115</v>
      </c>
      <c r="EA90" s="4">
        <v>100</v>
      </c>
      <c r="EB90" s="4">
        <v>100</v>
      </c>
      <c r="EC90" s="4">
        <v>115</v>
      </c>
      <c r="ED90" s="4">
        <v>115</v>
      </c>
      <c r="EE90" s="4">
        <v>115</v>
      </c>
      <c r="EF90" s="4">
        <v>114</v>
      </c>
      <c r="EG90" s="4">
        <v>115</v>
      </c>
      <c r="EH90" s="4">
        <v>115</v>
      </c>
      <c r="EI90" s="4">
        <v>115</v>
      </c>
      <c r="EJ90" s="4">
        <v>115</v>
      </c>
      <c r="EK90" s="4">
        <v>115</v>
      </c>
      <c r="EL90" s="4">
        <v>115</v>
      </c>
      <c r="EM90" s="4">
        <v>115</v>
      </c>
      <c r="EN90" s="4">
        <v>115</v>
      </c>
      <c r="EO90" s="4">
        <v>115</v>
      </c>
      <c r="EP90" s="4">
        <v>115</v>
      </c>
      <c r="EQ90" s="4">
        <v>115</v>
      </c>
      <c r="ER90" s="4">
        <v>115</v>
      </c>
      <c r="ES90" s="4">
        <v>115</v>
      </c>
      <c r="ET90" s="4">
        <v>115</v>
      </c>
      <c r="EU90" s="4">
        <v>115</v>
      </c>
      <c r="EV90" s="4">
        <v>115</v>
      </c>
      <c r="EW90" s="4">
        <v>115</v>
      </c>
      <c r="EX90" s="4">
        <v>115</v>
      </c>
      <c r="EY90" s="4">
        <v>115</v>
      </c>
      <c r="EZ90" s="4">
        <v>115</v>
      </c>
      <c r="FA90" s="4">
        <v>115</v>
      </c>
      <c r="FB90" s="4">
        <v>115</v>
      </c>
      <c r="FC90" s="4">
        <v>115</v>
      </c>
      <c r="FD90" s="4">
        <v>100</v>
      </c>
      <c r="FE90" s="4">
        <v>100</v>
      </c>
      <c r="FF90" s="4">
        <v>115</v>
      </c>
      <c r="FG90" s="4">
        <v>115</v>
      </c>
      <c r="FH90" s="4">
        <v>115</v>
      </c>
      <c r="FI90" s="4">
        <v>115</v>
      </c>
      <c r="FJ90" s="4">
        <v>115</v>
      </c>
      <c r="FK90" s="4">
        <v>115</v>
      </c>
      <c r="FL90" s="4">
        <v>115</v>
      </c>
      <c r="FM90" s="4">
        <v>115</v>
      </c>
      <c r="FN90" s="4">
        <v>115</v>
      </c>
      <c r="FO90" s="4">
        <v>115</v>
      </c>
      <c r="FP90" s="4">
        <v>115</v>
      </c>
      <c r="FQ90" s="4">
        <v>115</v>
      </c>
      <c r="FR90" s="4">
        <v>115</v>
      </c>
      <c r="FS90" s="4">
        <v>115</v>
      </c>
      <c r="FT90" s="4">
        <v>115</v>
      </c>
      <c r="FU90" s="4">
        <v>115</v>
      </c>
      <c r="FV90" s="4">
        <v>115</v>
      </c>
      <c r="FW90" s="4">
        <v>115</v>
      </c>
      <c r="FX90" s="4">
        <v>115</v>
      </c>
      <c r="FY90" s="4">
        <v>115</v>
      </c>
      <c r="FZ90" s="4">
        <v>115</v>
      </c>
      <c r="GA90" s="4">
        <v>115</v>
      </c>
      <c r="GB90" s="4">
        <v>115</v>
      </c>
      <c r="GC90" s="4">
        <v>115</v>
      </c>
      <c r="GD90" s="4">
        <v>115</v>
      </c>
      <c r="GE90" s="4">
        <v>115</v>
      </c>
      <c r="GF90" s="4">
        <v>115</v>
      </c>
      <c r="GG90" s="4">
        <v>100</v>
      </c>
      <c r="GH90" s="4">
        <v>100</v>
      </c>
      <c r="GJ90" s="4">
        <v>76</v>
      </c>
      <c r="GK90" s="4">
        <v>2</v>
      </c>
      <c r="GL90" s="4">
        <v>25</v>
      </c>
      <c r="GP90" s="4">
        <v>15</v>
      </c>
      <c r="GQ90" s="4">
        <v>11</v>
      </c>
      <c r="GT90" s="4">
        <v>-47</v>
      </c>
      <c r="GU90" s="4">
        <v>-5</v>
      </c>
      <c r="HH90" s="66"/>
      <c r="HI90" s="66"/>
      <c r="HJ90" s="66"/>
      <c r="HK90" s="66"/>
      <c r="IT90" s="4">
        <v>20</v>
      </c>
      <c r="IU90" s="4" t="s">
        <v>61</v>
      </c>
    </row>
    <row r="91" spans="1:255" x14ac:dyDescent="0.25">
      <c r="A91" s="4" t="s">
        <v>114</v>
      </c>
      <c r="E91" s="4">
        <f>SUM(C47+B55*3+B63+B66+E49+E50+E51+E56+F61+I45*2+J46*3+I54+I55+I63*3+L49+L56+O47*2+O51+O64+O66+R45*3+R53*3+X44+X49*2)</f>
        <v>20</v>
      </c>
      <c r="I91" s="28" t="s">
        <v>115</v>
      </c>
      <c r="J91" s="29"/>
      <c r="K91" s="6"/>
      <c r="L91" s="6"/>
      <c r="M91" s="6"/>
      <c r="N91" s="2">
        <f t="shared" si="0"/>
        <v>12</v>
      </c>
      <c r="O91" s="2">
        <f>LOOKUP(O104,FE109:FE112,FX109:FX112)</f>
        <v>42</v>
      </c>
      <c r="P91" s="6"/>
      <c r="Q91" s="2">
        <f t="shared" si="11"/>
        <v>42</v>
      </c>
      <c r="R91" s="2"/>
      <c r="S91" s="2"/>
      <c r="T91" s="2"/>
      <c r="U91" s="2"/>
      <c r="V91" s="47"/>
      <c r="W91" s="47"/>
      <c r="X91" s="47"/>
      <c r="Y91" s="47"/>
      <c r="Z91" s="47"/>
      <c r="AA91" s="47"/>
      <c r="AB91" s="47"/>
      <c r="AC91" s="47"/>
      <c r="AD91" s="47"/>
      <c r="AE91" s="2"/>
      <c r="AF91" s="2">
        <f>Q91+GN83</f>
        <v>43</v>
      </c>
      <c r="AG91" s="2"/>
      <c r="AH91" s="2">
        <f t="shared" si="12"/>
        <v>0</v>
      </c>
      <c r="AI91" s="2">
        <f t="shared" si="13"/>
        <v>0</v>
      </c>
      <c r="AJ91" s="2">
        <f t="shared" si="14"/>
        <v>0</v>
      </c>
      <c r="AK91" s="2"/>
      <c r="AL91" s="2">
        <f t="shared" si="10"/>
        <v>43</v>
      </c>
      <c r="AM91" s="2"/>
      <c r="AN91" s="2"/>
      <c r="AO91" s="2">
        <f>AL91+BE83</f>
        <v>43</v>
      </c>
      <c r="AP91" s="2"/>
      <c r="AQ91" s="2">
        <f>IF(AO91&lt;0,1,0)</f>
        <v>0</v>
      </c>
      <c r="AR91" s="2">
        <f>IF(AO91&gt;115,2,0)</f>
        <v>0</v>
      </c>
      <c r="AS91" s="2">
        <f>SUM(AQ91:AR91)</f>
        <v>0</v>
      </c>
      <c r="AT91" s="2">
        <f>IF((AO91&lt;116)*AND(AO91&gt;-1),AO91,AZ94)</f>
        <v>43</v>
      </c>
      <c r="AU91" s="54">
        <f t="shared" si="15"/>
        <v>43</v>
      </c>
      <c r="AV91" s="56" t="str">
        <f>LOOKUP(AU91,IT70:IU185)</f>
        <v>Indicador nulo</v>
      </c>
      <c r="AZ91" s="4" t="e">
        <f>LOOKUP(AS85,AZ89:BA90)</f>
        <v>#N/A</v>
      </c>
      <c r="BE91" s="4" t="e">
        <f>LOOKUP(AJ85,BE89:BF90)</f>
        <v>#N/A</v>
      </c>
      <c r="BN91" s="4" t="e">
        <f>LOOKUP(AA75,BN88:BO89)</f>
        <v>#N/A</v>
      </c>
      <c r="BT91" s="4" t="e">
        <f>LOOKUP(T77,BT85:BU86)</f>
        <v>#N/A</v>
      </c>
      <c r="BV91" s="4">
        <v>75</v>
      </c>
      <c r="BW91" s="4">
        <v>115</v>
      </c>
      <c r="BX91" s="4">
        <v>115</v>
      </c>
      <c r="BY91" s="4">
        <v>115</v>
      </c>
      <c r="BZ91" s="4">
        <v>115</v>
      </c>
      <c r="CA91" s="4">
        <v>115</v>
      </c>
      <c r="CB91" s="4">
        <v>115</v>
      </c>
      <c r="CC91" s="4">
        <v>115</v>
      </c>
      <c r="CD91" s="4">
        <v>115</v>
      </c>
      <c r="CE91" s="4">
        <v>115</v>
      </c>
      <c r="CF91" s="4">
        <v>115</v>
      </c>
      <c r="CG91" s="4">
        <v>115</v>
      </c>
      <c r="CH91" s="4">
        <v>115</v>
      </c>
      <c r="CI91" s="4">
        <v>115</v>
      </c>
      <c r="CJ91" s="4">
        <v>115</v>
      </c>
      <c r="CK91" s="4">
        <v>115</v>
      </c>
      <c r="CL91" s="4">
        <v>115</v>
      </c>
      <c r="CM91" s="4">
        <v>115</v>
      </c>
      <c r="CN91" s="4">
        <v>115</v>
      </c>
      <c r="CO91" s="4">
        <v>115</v>
      </c>
      <c r="CP91" s="4">
        <v>115</v>
      </c>
      <c r="CQ91" s="4">
        <v>115</v>
      </c>
      <c r="CR91" s="4">
        <v>115</v>
      </c>
      <c r="CS91" s="4">
        <v>115</v>
      </c>
      <c r="CT91" s="4">
        <v>115</v>
      </c>
      <c r="CU91" s="4">
        <v>115</v>
      </c>
      <c r="CV91" s="4">
        <v>115</v>
      </c>
      <c r="CW91" s="4">
        <v>115</v>
      </c>
      <c r="CX91" s="4">
        <v>100</v>
      </c>
      <c r="CY91" s="4">
        <v>100</v>
      </c>
      <c r="CZ91" s="4">
        <v>115</v>
      </c>
      <c r="DA91" s="4">
        <v>115</v>
      </c>
      <c r="DB91" s="4">
        <v>115</v>
      </c>
      <c r="DC91" s="4">
        <v>115</v>
      </c>
      <c r="DD91" s="4">
        <v>115</v>
      </c>
      <c r="DE91" s="4">
        <v>115</v>
      </c>
      <c r="DF91" s="4">
        <v>115</v>
      </c>
      <c r="DG91" s="4">
        <v>115</v>
      </c>
      <c r="DH91" s="4">
        <v>115</v>
      </c>
      <c r="DI91" s="4">
        <v>115</v>
      </c>
      <c r="DJ91" s="4">
        <v>115</v>
      </c>
      <c r="DK91" s="4">
        <v>115</v>
      </c>
      <c r="DL91" s="4">
        <v>115</v>
      </c>
      <c r="DM91" s="4">
        <v>115</v>
      </c>
      <c r="DN91" s="4">
        <v>115</v>
      </c>
      <c r="DO91" s="4">
        <v>115</v>
      </c>
      <c r="DP91" s="4">
        <v>115</v>
      </c>
      <c r="DQ91" s="4">
        <v>115</v>
      </c>
      <c r="DR91" s="4">
        <v>115</v>
      </c>
      <c r="DS91" s="4">
        <v>115</v>
      </c>
      <c r="DT91" s="4">
        <v>115</v>
      </c>
      <c r="DU91" s="4">
        <v>115</v>
      </c>
      <c r="DV91" s="4">
        <v>115</v>
      </c>
      <c r="DW91" s="4">
        <v>115</v>
      </c>
      <c r="DX91" s="4">
        <v>115</v>
      </c>
      <c r="DY91" s="4">
        <v>115</v>
      </c>
      <c r="DZ91" s="4">
        <v>115</v>
      </c>
      <c r="EA91" s="4">
        <v>100</v>
      </c>
      <c r="EB91" s="4">
        <v>100</v>
      </c>
      <c r="EC91" s="4">
        <v>115</v>
      </c>
      <c r="ED91" s="4">
        <v>115</v>
      </c>
      <c r="EE91" s="4">
        <v>115</v>
      </c>
      <c r="EF91" s="4">
        <v>115</v>
      </c>
      <c r="EG91" s="4">
        <v>115</v>
      </c>
      <c r="EH91" s="4">
        <v>115</v>
      </c>
      <c r="EI91" s="4">
        <v>115</v>
      </c>
      <c r="EJ91" s="4">
        <v>115</v>
      </c>
      <c r="EK91" s="4">
        <v>115</v>
      </c>
      <c r="EL91" s="4">
        <v>115</v>
      </c>
      <c r="EM91" s="4">
        <v>115</v>
      </c>
      <c r="EN91" s="4">
        <v>115</v>
      </c>
      <c r="EO91" s="4">
        <v>115</v>
      </c>
      <c r="EP91" s="4">
        <v>115</v>
      </c>
      <c r="EQ91" s="4">
        <v>115</v>
      </c>
      <c r="ER91" s="4">
        <v>115</v>
      </c>
      <c r="ES91" s="4">
        <v>115</v>
      </c>
      <c r="ET91" s="4">
        <v>115</v>
      </c>
      <c r="EU91" s="4">
        <v>115</v>
      </c>
      <c r="EV91" s="4">
        <v>115</v>
      </c>
      <c r="EW91" s="4">
        <v>115</v>
      </c>
      <c r="EX91" s="4">
        <v>115</v>
      </c>
      <c r="EY91" s="4">
        <v>115</v>
      </c>
      <c r="EZ91" s="4">
        <v>115</v>
      </c>
      <c r="FA91" s="4">
        <v>115</v>
      </c>
      <c r="FB91" s="4">
        <v>115</v>
      </c>
      <c r="FC91" s="4">
        <v>115</v>
      </c>
      <c r="FD91" s="4">
        <v>100</v>
      </c>
      <c r="FE91" s="4">
        <v>100</v>
      </c>
      <c r="FF91" s="4">
        <v>115</v>
      </c>
      <c r="FG91" s="4">
        <v>115</v>
      </c>
      <c r="FH91" s="4">
        <v>115</v>
      </c>
      <c r="FI91" s="4">
        <v>115</v>
      </c>
      <c r="FJ91" s="4">
        <v>115</v>
      </c>
      <c r="FK91" s="4">
        <v>115</v>
      </c>
      <c r="FL91" s="4">
        <v>115</v>
      </c>
      <c r="FM91" s="4">
        <v>115</v>
      </c>
      <c r="FN91" s="4">
        <v>115</v>
      </c>
      <c r="FO91" s="4">
        <v>115</v>
      </c>
      <c r="FP91" s="4">
        <v>115</v>
      </c>
      <c r="FQ91" s="4">
        <v>115</v>
      </c>
      <c r="FR91" s="4">
        <v>115</v>
      </c>
      <c r="FS91" s="4">
        <v>115</v>
      </c>
      <c r="FT91" s="4">
        <v>115</v>
      </c>
      <c r="FU91" s="4">
        <v>115</v>
      </c>
      <c r="FV91" s="4">
        <v>115</v>
      </c>
      <c r="FW91" s="4">
        <v>115</v>
      </c>
      <c r="FX91" s="4">
        <v>115</v>
      </c>
      <c r="FY91" s="4">
        <v>115</v>
      </c>
      <c r="FZ91" s="4">
        <v>115</v>
      </c>
      <c r="GA91" s="4">
        <v>115</v>
      </c>
      <c r="GB91" s="4">
        <v>115</v>
      </c>
      <c r="GC91" s="4">
        <v>115</v>
      </c>
      <c r="GD91" s="4">
        <v>115</v>
      </c>
      <c r="GE91" s="4">
        <v>115</v>
      </c>
      <c r="GF91" s="4">
        <v>115</v>
      </c>
      <c r="GG91" s="4">
        <v>100</v>
      </c>
      <c r="GH91" s="4">
        <v>100</v>
      </c>
      <c r="GJ91" s="4">
        <v>77</v>
      </c>
      <c r="GK91" s="4">
        <v>2</v>
      </c>
      <c r="GL91" s="4">
        <v>25</v>
      </c>
      <c r="GP91" s="4">
        <v>16</v>
      </c>
      <c r="GQ91" s="4">
        <v>12</v>
      </c>
      <c r="GT91" s="4">
        <v>-46</v>
      </c>
      <c r="GU91" s="4">
        <v>-5</v>
      </c>
      <c r="HH91" s="66"/>
      <c r="HI91" s="66"/>
      <c r="HJ91" s="66"/>
      <c r="HK91" s="66"/>
      <c r="IT91" s="4">
        <v>21</v>
      </c>
      <c r="IU91" s="4" t="s">
        <v>61</v>
      </c>
    </row>
    <row r="92" spans="1:255" x14ac:dyDescent="0.25">
      <c r="A92" s="4" t="s">
        <v>116</v>
      </c>
      <c r="E92" s="4">
        <f>SUM(C51*2+B52*3+E42+E45*3+E47+E49*3+E64*3+I54+I56*3+J59*2+I62+L48*3+L50+O46*3+O53*2+O65*3+R43+S47*2+R54*3+R60*3)</f>
        <v>15</v>
      </c>
      <c r="I92" s="34" t="s">
        <v>117</v>
      </c>
      <c r="J92" s="39"/>
      <c r="K92" s="40"/>
      <c r="L92" s="40"/>
      <c r="M92" s="40"/>
      <c r="N92" s="41">
        <f t="shared" si="0"/>
        <v>20</v>
      </c>
      <c r="O92" s="41">
        <f>LOOKUP(O104,FE109:FE112,FY109:FY112)</f>
        <v>77</v>
      </c>
      <c r="P92" s="40"/>
      <c r="Q92" s="41">
        <f t="shared" si="11"/>
        <v>77</v>
      </c>
      <c r="R92" s="41"/>
      <c r="S92" s="41"/>
      <c r="T92" s="41"/>
      <c r="U92" s="41"/>
      <c r="V92" s="49"/>
      <c r="W92" s="49"/>
      <c r="X92" s="49"/>
      <c r="Y92" s="49"/>
      <c r="Z92" s="49"/>
      <c r="AA92" s="49"/>
      <c r="AB92" s="49"/>
      <c r="AC92" s="49"/>
      <c r="AD92" s="49"/>
      <c r="AE92" s="41"/>
      <c r="AF92" s="41">
        <f>Q92+GN83</f>
        <v>78</v>
      </c>
      <c r="AG92" s="41"/>
      <c r="AH92" s="41">
        <f t="shared" si="12"/>
        <v>0</v>
      </c>
      <c r="AI92" s="41">
        <f t="shared" si="13"/>
        <v>0</v>
      </c>
      <c r="AJ92" s="41">
        <f t="shared" si="14"/>
        <v>0</v>
      </c>
      <c r="AK92" s="41"/>
      <c r="AL92" s="41">
        <f t="shared" si="10"/>
        <v>78</v>
      </c>
      <c r="AM92" s="41"/>
      <c r="AN92" s="41"/>
      <c r="AO92" s="41">
        <f>AL92</f>
        <v>78</v>
      </c>
      <c r="AP92" s="41"/>
      <c r="AQ92" s="41"/>
      <c r="AR92" s="41"/>
      <c r="AS92" s="41"/>
      <c r="AT92" s="41">
        <f>AO92</f>
        <v>78</v>
      </c>
      <c r="AU92" s="62">
        <f t="shared" si="15"/>
        <v>78</v>
      </c>
      <c r="AV92" s="63" t="str">
        <f>LOOKUP(AU92,IT70:IU185)</f>
        <v>Área problemática</v>
      </c>
      <c r="AZ92" s="4" t="e">
        <f>LOOKUP(AS86,AZ89:BA90)</f>
        <v>#N/A</v>
      </c>
      <c r="BE92" s="4" t="e">
        <f>LOOKUP(AJ86,BE89:BF90)</f>
        <v>#N/A</v>
      </c>
      <c r="BT92" s="4" t="e">
        <f>LOOKUP(T78,BT85:BU86)</f>
        <v>#N/A</v>
      </c>
      <c r="BV92" s="4">
        <v>76</v>
      </c>
      <c r="BW92" s="4">
        <v>115</v>
      </c>
      <c r="BX92" s="4">
        <v>115</v>
      </c>
      <c r="BY92" s="4">
        <v>115</v>
      </c>
      <c r="BZ92" s="4">
        <v>115</v>
      </c>
      <c r="CA92" s="4">
        <v>115</v>
      </c>
      <c r="CB92" s="4">
        <v>115</v>
      </c>
      <c r="CC92" s="4">
        <v>115</v>
      </c>
      <c r="CD92" s="4">
        <v>115</v>
      </c>
      <c r="CE92" s="4">
        <v>115</v>
      </c>
      <c r="CF92" s="4">
        <v>115</v>
      </c>
      <c r="CG92" s="4">
        <v>115</v>
      </c>
      <c r="CH92" s="4">
        <v>115</v>
      </c>
      <c r="CI92" s="4">
        <v>115</v>
      </c>
      <c r="CJ92" s="4">
        <v>115</v>
      </c>
      <c r="CK92" s="4">
        <v>115</v>
      </c>
      <c r="CL92" s="4">
        <v>115</v>
      </c>
      <c r="CM92" s="4">
        <v>115</v>
      </c>
      <c r="CN92" s="4">
        <v>115</v>
      </c>
      <c r="CO92" s="4">
        <v>115</v>
      </c>
      <c r="CP92" s="4">
        <v>115</v>
      </c>
      <c r="CQ92" s="4">
        <v>115</v>
      </c>
      <c r="CR92" s="4">
        <v>115</v>
      </c>
      <c r="CS92" s="4">
        <v>115</v>
      </c>
      <c r="CT92" s="4">
        <v>115</v>
      </c>
      <c r="CU92" s="4">
        <v>115</v>
      </c>
      <c r="CV92" s="4">
        <v>115</v>
      </c>
      <c r="CW92" s="4">
        <v>115</v>
      </c>
      <c r="CX92" s="4">
        <v>100</v>
      </c>
      <c r="CY92" s="4">
        <v>100</v>
      </c>
      <c r="CZ92" s="4">
        <v>115</v>
      </c>
      <c r="DA92" s="4">
        <v>115</v>
      </c>
      <c r="DB92" s="4">
        <v>115</v>
      </c>
      <c r="DC92" s="4">
        <v>115</v>
      </c>
      <c r="DD92" s="4">
        <v>115</v>
      </c>
      <c r="DE92" s="4">
        <v>115</v>
      </c>
      <c r="DF92" s="4">
        <v>115</v>
      </c>
      <c r="DG92" s="4">
        <v>115</v>
      </c>
      <c r="DH92" s="4">
        <v>115</v>
      </c>
      <c r="DI92" s="4">
        <v>115</v>
      </c>
      <c r="DJ92" s="4">
        <v>115</v>
      </c>
      <c r="DK92" s="4">
        <v>115</v>
      </c>
      <c r="DL92" s="4">
        <v>115</v>
      </c>
      <c r="DM92" s="4">
        <v>115</v>
      </c>
      <c r="DN92" s="4">
        <v>115</v>
      </c>
      <c r="DO92" s="4">
        <v>115</v>
      </c>
      <c r="DP92" s="4">
        <v>115</v>
      </c>
      <c r="DQ92" s="4">
        <v>115</v>
      </c>
      <c r="DR92" s="4">
        <v>115</v>
      </c>
      <c r="DS92" s="4">
        <v>115</v>
      </c>
      <c r="DT92" s="4">
        <v>115</v>
      </c>
      <c r="DU92" s="4">
        <v>115</v>
      </c>
      <c r="DV92" s="4">
        <v>115</v>
      </c>
      <c r="DW92" s="4">
        <v>115</v>
      </c>
      <c r="DX92" s="4">
        <v>115</v>
      </c>
      <c r="DY92" s="4">
        <v>115</v>
      </c>
      <c r="DZ92" s="4">
        <v>115</v>
      </c>
      <c r="EA92" s="4">
        <v>100</v>
      </c>
      <c r="EB92" s="4">
        <v>100</v>
      </c>
      <c r="EC92" s="4">
        <v>115</v>
      </c>
      <c r="ED92" s="4">
        <v>115</v>
      </c>
      <c r="EE92" s="4">
        <v>115</v>
      </c>
      <c r="EF92" s="4">
        <v>115</v>
      </c>
      <c r="EG92" s="4">
        <v>115</v>
      </c>
      <c r="EH92" s="4">
        <v>115</v>
      </c>
      <c r="EI92" s="4">
        <v>115</v>
      </c>
      <c r="EJ92" s="4">
        <v>115</v>
      </c>
      <c r="EK92" s="4">
        <v>115</v>
      </c>
      <c r="EL92" s="4">
        <v>115</v>
      </c>
      <c r="EM92" s="4">
        <v>115</v>
      </c>
      <c r="EN92" s="4">
        <v>115</v>
      </c>
      <c r="EO92" s="4">
        <v>115</v>
      </c>
      <c r="EP92" s="4">
        <v>115</v>
      </c>
      <c r="EQ92" s="4">
        <v>115</v>
      </c>
      <c r="ER92" s="4">
        <v>115</v>
      </c>
      <c r="ES92" s="4">
        <v>115</v>
      </c>
      <c r="ET92" s="4">
        <v>115</v>
      </c>
      <c r="EU92" s="4">
        <v>115</v>
      </c>
      <c r="EV92" s="4">
        <v>115</v>
      </c>
      <c r="EW92" s="4">
        <v>115</v>
      </c>
      <c r="EX92" s="4">
        <v>115</v>
      </c>
      <c r="EY92" s="4">
        <v>115</v>
      </c>
      <c r="EZ92" s="4">
        <v>115</v>
      </c>
      <c r="FA92" s="4">
        <v>115</v>
      </c>
      <c r="FB92" s="4">
        <v>115</v>
      </c>
      <c r="FC92" s="4">
        <v>115</v>
      </c>
      <c r="FD92" s="4">
        <v>100</v>
      </c>
      <c r="FE92" s="4">
        <v>100</v>
      </c>
      <c r="FF92" s="4">
        <v>115</v>
      </c>
      <c r="FG92" s="4">
        <v>115</v>
      </c>
      <c r="FH92" s="4">
        <v>115</v>
      </c>
      <c r="FI92" s="4">
        <v>115</v>
      </c>
      <c r="FJ92" s="4">
        <v>115</v>
      </c>
      <c r="FK92" s="4">
        <v>115</v>
      </c>
      <c r="FL92" s="4">
        <v>115</v>
      </c>
      <c r="FM92" s="4">
        <v>115</v>
      </c>
      <c r="FN92" s="4">
        <v>115</v>
      </c>
      <c r="FO92" s="4">
        <v>115</v>
      </c>
      <c r="FP92" s="4">
        <v>115</v>
      </c>
      <c r="FQ92" s="4">
        <v>115</v>
      </c>
      <c r="FR92" s="4">
        <v>115</v>
      </c>
      <c r="FS92" s="4">
        <v>115</v>
      </c>
      <c r="FT92" s="4">
        <v>115</v>
      </c>
      <c r="FU92" s="4">
        <v>115</v>
      </c>
      <c r="FV92" s="4">
        <v>115</v>
      </c>
      <c r="FW92" s="4">
        <v>115</v>
      </c>
      <c r="FX92" s="4">
        <v>115</v>
      </c>
      <c r="FY92" s="4">
        <v>115</v>
      </c>
      <c r="FZ92" s="4">
        <v>115</v>
      </c>
      <c r="GA92" s="4">
        <v>115</v>
      </c>
      <c r="GB92" s="4">
        <v>115</v>
      </c>
      <c r="GC92" s="4">
        <v>115</v>
      </c>
      <c r="GD92" s="4">
        <v>115</v>
      </c>
      <c r="GE92" s="4">
        <v>115</v>
      </c>
      <c r="GF92" s="4">
        <v>115</v>
      </c>
      <c r="GG92" s="4">
        <v>100</v>
      </c>
      <c r="GH92" s="4">
        <v>100</v>
      </c>
      <c r="GJ92" s="4">
        <v>78</v>
      </c>
      <c r="GK92" s="4">
        <v>2</v>
      </c>
      <c r="GL92" s="4">
        <v>25</v>
      </c>
      <c r="GP92" s="4">
        <v>17</v>
      </c>
      <c r="GQ92" s="4">
        <v>13</v>
      </c>
      <c r="GT92" s="4">
        <v>-45</v>
      </c>
      <c r="GU92" s="4">
        <v>-5</v>
      </c>
      <c r="HH92" s="66"/>
      <c r="HI92" s="66"/>
      <c r="HJ92" s="66"/>
      <c r="HK92" s="66"/>
      <c r="IT92" s="4">
        <v>22</v>
      </c>
      <c r="IU92" s="4" t="s">
        <v>61</v>
      </c>
    </row>
    <row r="93" spans="1:255" x14ac:dyDescent="0.25">
      <c r="A93" s="4" t="s">
        <v>118</v>
      </c>
      <c r="E93" s="4">
        <f>SUM(B45+C46+C49*3+C50*2+C56*2+B59*2+B62*2+B63*3+C64+E46*3+E56*3+E59+E60+F61+I43*2+I48*3+I52*2+I64+I65+I66*3+L42+L44+L56*3+L58+L63+O45*2+O52*2+O58+O61*3+R50*3+R55+R57+R64+R66*2+X43*3)</f>
        <v>15</v>
      </c>
      <c r="I93" s="23" t="s">
        <v>119</v>
      </c>
      <c r="J93" s="24"/>
      <c r="K93" s="25"/>
      <c r="L93" s="25"/>
      <c r="M93" s="25"/>
      <c r="N93" s="26">
        <f t="shared" si="0"/>
        <v>15</v>
      </c>
      <c r="O93" s="26">
        <f>LOOKUP(O104,FE109:FE112,FZ109:FZ112)</f>
        <v>49</v>
      </c>
      <c r="P93" s="25"/>
      <c r="Q93" s="26">
        <f t="shared" si="11"/>
        <v>49</v>
      </c>
      <c r="R93" s="26"/>
      <c r="S93" s="26"/>
      <c r="T93" s="26"/>
      <c r="U93" s="26"/>
      <c r="V93" s="46"/>
      <c r="W93" s="46"/>
      <c r="X93" s="46"/>
      <c r="Y93" s="46"/>
      <c r="Z93" s="46"/>
      <c r="AA93" s="46"/>
      <c r="AB93" s="46"/>
      <c r="AC93" s="46"/>
      <c r="AD93" s="46"/>
      <c r="AE93" s="26"/>
      <c r="AF93" s="26">
        <f>Q93+GN83</f>
        <v>50</v>
      </c>
      <c r="AG93" s="26"/>
      <c r="AH93" s="26">
        <f t="shared" si="12"/>
        <v>0</v>
      </c>
      <c r="AI93" s="26">
        <f t="shared" si="13"/>
        <v>0</v>
      </c>
      <c r="AJ93" s="26">
        <f t="shared" si="14"/>
        <v>0</v>
      </c>
      <c r="AK93" s="26"/>
      <c r="AL93" s="26">
        <f t="shared" si="10"/>
        <v>50</v>
      </c>
      <c r="AM93" s="26"/>
      <c r="AN93" s="26"/>
      <c r="AO93" s="26">
        <f>AL93</f>
        <v>50</v>
      </c>
      <c r="AP93" s="26"/>
      <c r="AQ93" s="26"/>
      <c r="AR93" s="26"/>
      <c r="AS93" s="26"/>
      <c r="AT93" s="26">
        <f>AO93</f>
        <v>50</v>
      </c>
      <c r="AU93" s="52">
        <f t="shared" si="15"/>
        <v>50</v>
      </c>
      <c r="AV93" s="61" t="str">
        <f>LOOKUP(AU93,IT70:IU185)</f>
        <v>Indicador nulo</v>
      </c>
      <c r="BE93" s="4" t="e">
        <f>LOOKUP(AJ87,BE89:BF90)</f>
        <v>#N/A</v>
      </c>
      <c r="BT93" s="4" t="e">
        <f>LOOKUP(T79,BT85:BU86)</f>
        <v>#N/A</v>
      </c>
      <c r="BV93" s="4">
        <v>77</v>
      </c>
      <c r="BW93" s="4">
        <v>115</v>
      </c>
      <c r="BX93" s="4">
        <v>115</v>
      </c>
      <c r="BY93" s="4">
        <v>115</v>
      </c>
      <c r="BZ93" s="4">
        <v>115</v>
      </c>
      <c r="CA93" s="4">
        <v>115</v>
      </c>
      <c r="CB93" s="4">
        <v>115</v>
      </c>
      <c r="CC93" s="4">
        <v>115</v>
      </c>
      <c r="CD93" s="4">
        <v>115</v>
      </c>
      <c r="CE93" s="4">
        <v>115</v>
      </c>
      <c r="CF93" s="4">
        <v>115</v>
      </c>
      <c r="CG93" s="4">
        <v>115</v>
      </c>
      <c r="CH93" s="4">
        <v>115</v>
      </c>
      <c r="CI93" s="4">
        <v>115</v>
      </c>
      <c r="CJ93" s="4">
        <v>115</v>
      </c>
      <c r="CK93" s="4">
        <v>115</v>
      </c>
      <c r="CL93" s="4">
        <v>115</v>
      </c>
      <c r="CM93" s="4">
        <v>115</v>
      </c>
      <c r="CN93" s="4">
        <v>115</v>
      </c>
      <c r="CO93" s="4">
        <v>115</v>
      </c>
      <c r="CP93" s="4">
        <v>115</v>
      </c>
      <c r="CQ93" s="4">
        <v>115</v>
      </c>
      <c r="CR93" s="4">
        <v>115</v>
      </c>
      <c r="CS93" s="4">
        <v>115</v>
      </c>
      <c r="CT93" s="4">
        <v>115</v>
      </c>
      <c r="CU93" s="4">
        <v>115</v>
      </c>
      <c r="CV93" s="4">
        <v>115</v>
      </c>
      <c r="CW93" s="4">
        <v>115</v>
      </c>
      <c r="CX93" s="4">
        <v>100</v>
      </c>
      <c r="CY93" s="4">
        <v>100</v>
      </c>
      <c r="CZ93" s="4">
        <v>115</v>
      </c>
      <c r="DA93" s="4">
        <v>115</v>
      </c>
      <c r="DB93" s="4">
        <v>115</v>
      </c>
      <c r="DC93" s="4">
        <v>115</v>
      </c>
      <c r="DD93" s="4">
        <v>115</v>
      </c>
      <c r="DE93" s="4">
        <v>115</v>
      </c>
      <c r="DF93" s="4">
        <v>115</v>
      </c>
      <c r="DG93" s="4">
        <v>115</v>
      </c>
      <c r="DH93" s="4">
        <v>115</v>
      </c>
      <c r="DI93" s="4">
        <v>115</v>
      </c>
      <c r="DJ93" s="4">
        <v>115</v>
      </c>
      <c r="DK93" s="4">
        <v>115</v>
      </c>
      <c r="DL93" s="4">
        <v>115</v>
      </c>
      <c r="DM93" s="4">
        <v>115</v>
      </c>
      <c r="DN93" s="4">
        <v>115</v>
      </c>
      <c r="DO93" s="4">
        <v>115</v>
      </c>
      <c r="DP93" s="4">
        <v>115</v>
      </c>
      <c r="DQ93" s="4">
        <v>115</v>
      </c>
      <c r="DR93" s="4">
        <v>115</v>
      </c>
      <c r="DS93" s="4">
        <v>115</v>
      </c>
      <c r="DT93" s="4">
        <v>115</v>
      </c>
      <c r="DU93" s="4">
        <v>115</v>
      </c>
      <c r="DV93" s="4">
        <v>115</v>
      </c>
      <c r="DW93" s="4">
        <v>115</v>
      </c>
      <c r="DX93" s="4">
        <v>115</v>
      </c>
      <c r="DY93" s="4">
        <v>115</v>
      </c>
      <c r="DZ93" s="4">
        <v>115</v>
      </c>
      <c r="EA93" s="4">
        <v>100</v>
      </c>
      <c r="EB93" s="4">
        <v>100</v>
      </c>
      <c r="EC93" s="4">
        <v>115</v>
      </c>
      <c r="ED93" s="4">
        <v>115</v>
      </c>
      <c r="EE93" s="4">
        <v>115</v>
      </c>
      <c r="EF93" s="4">
        <v>115</v>
      </c>
      <c r="EG93" s="4">
        <v>115</v>
      </c>
      <c r="EH93" s="4">
        <v>115</v>
      </c>
      <c r="EI93" s="4">
        <v>115</v>
      </c>
      <c r="EJ93" s="4">
        <v>115</v>
      </c>
      <c r="EK93" s="4">
        <v>115</v>
      </c>
      <c r="EL93" s="4">
        <v>115</v>
      </c>
      <c r="EM93" s="4">
        <v>115</v>
      </c>
      <c r="EN93" s="4">
        <v>115</v>
      </c>
      <c r="EO93" s="4">
        <v>115</v>
      </c>
      <c r="EP93" s="4">
        <v>115</v>
      </c>
      <c r="EQ93" s="4">
        <v>115</v>
      </c>
      <c r="ER93" s="4">
        <v>115</v>
      </c>
      <c r="ES93" s="4">
        <v>115</v>
      </c>
      <c r="ET93" s="4">
        <v>115</v>
      </c>
      <c r="EU93" s="4">
        <v>115</v>
      </c>
      <c r="EV93" s="4">
        <v>115</v>
      </c>
      <c r="EW93" s="4">
        <v>115</v>
      </c>
      <c r="EX93" s="4">
        <v>115</v>
      </c>
      <c r="EY93" s="4">
        <v>115</v>
      </c>
      <c r="EZ93" s="4">
        <v>115</v>
      </c>
      <c r="FA93" s="4">
        <v>115</v>
      </c>
      <c r="FB93" s="4">
        <v>115</v>
      </c>
      <c r="FC93" s="4">
        <v>115</v>
      </c>
      <c r="FD93" s="4">
        <v>100</v>
      </c>
      <c r="FE93" s="4">
        <v>100</v>
      </c>
      <c r="FF93" s="4">
        <v>115</v>
      </c>
      <c r="FG93" s="4">
        <v>115</v>
      </c>
      <c r="FH93" s="4">
        <v>115</v>
      </c>
      <c r="FI93" s="4">
        <v>115</v>
      </c>
      <c r="FJ93" s="4">
        <v>115</v>
      </c>
      <c r="FK93" s="4">
        <v>115</v>
      </c>
      <c r="FL93" s="4">
        <v>115</v>
      </c>
      <c r="FM93" s="4">
        <v>115</v>
      </c>
      <c r="FN93" s="4">
        <v>115</v>
      </c>
      <c r="FO93" s="4">
        <v>115</v>
      </c>
      <c r="FP93" s="4">
        <v>115</v>
      </c>
      <c r="FQ93" s="4">
        <v>115</v>
      </c>
      <c r="FR93" s="4">
        <v>115</v>
      </c>
      <c r="FS93" s="4">
        <v>115</v>
      </c>
      <c r="FT93" s="4">
        <v>115</v>
      </c>
      <c r="FU93" s="4">
        <v>115</v>
      </c>
      <c r="FV93" s="4">
        <v>115</v>
      </c>
      <c r="FW93" s="4">
        <v>115</v>
      </c>
      <c r="FX93" s="4">
        <v>115</v>
      </c>
      <c r="FY93" s="4">
        <v>115</v>
      </c>
      <c r="FZ93" s="4">
        <v>115</v>
      </c>
      <c r="GA93" s="4">
        <v>115</v>
      </c>
      <c r="GB93" s="4">
        <v>115</v>
      </c>
      <c r="GC93" s="4">
        <v>115</v>
      </c>
      <c r="GD93" s="4">
        <v>115</v>
      </c>
      <c r="GE93" s="4">
        <v>115</v>
      </c>
      <c r="GF93" s="4">
        <v>115</v>
      </c>
      <c r="GG93" s="4">
        <v>100</v>
      </c>
      <c r="GH93" s="4">
        <v>100</v>
      </c>
      <c r="GJ93" s="4">
        <v>79</v>
      </c>
      <c r="GK93" s="4">
        <v>2</v>
      </c>
      <c r="GL93" s="4">
        <v>25</v>
      </c>
      <c r="GP93" s="4">
        <v>18</v>
      </c>
      <c r="GQ93" s="4">
        <v>13</v>
      </c>
      <c r="GT93" s="4">
        <v>-44</v>
      </c>
      <c r="GU93" s="4">
        <v>-4</v>
      </c>
      <c r="HH93" s="66"/>
      <c r="HI93" s="66"/>
      <c r="HJ93" s="66"/>
      <c r="HK93" s="66"/>
      <c r="IT93" s="4">
        <v>23</v>
      </c>
      <c r="IU93" s="4" t="s">
        <v>61</v>
      </c>
    </row>
    <row r="94" spans="1:255" x14ac:dyDescent="0.25">
      <c r="A94" s="4" t="s">
        <v>120</v>
      </c>
      <c r="E94" s="4">
        <f>SUM(C46+C49+B51+B52+C56*3+B62*2+F42+E44+F48+E57+F61*3+F62+J56+I59+J60+J62*2+I64*3+L42+L44+M47+M50*2+L58+L60+M65*2)</f>
        <v>19</v>
      </c>
      <c r="F94" s="4">
        <f>SUM(P47*2+O52*3+O58*2+P66*2+S43*2+S56+R64*2+R66*3+X43+X46)</f>
        <v>7</v>
      </c>
      <c r="I94" s="28" t="s">
        <v>121</v>
      </c>
      <c r="J94" s="29"/>
      <c r="K94" s="6"/>
      <c r="L94" s="6"/>
      <c r="M94" s="6"/>
      <c r="N94" s="2">
        <f t="shared" si="0"/>
        <v>15</v>
      </c>
      <c r="O94" s="2">
        <f>LOOKUP(O104,FE109:FE112,GA109:GA112)</f>
        <v>64</v>
      </c>
      <c r="P94" s="6"/>
      <c r="Q94" s="2">
        <f t="shared" si="11"/>
        <v>64</v>
      </c>
      <c r="R94" s="2"/>
      <c r="S94" s="2"/>
      <c r="T94" s="2"/>
      <c r="U94" s="2"/>
      <c r="V94" s="47"/>
      <c r="W94" s="47"/>
      <c r="X94" s="47"/>
      <c r="Y94" s="47"/>
      <c r="Z94" s="47"/>
      <c r="AA94" s="47"/>
      <c r="AB94" s="47"/>
      <c r="AC94" s="47"/>
      <c r="AD94" s="47"/>
      <c r="AE94" s="2"/>
      <c r="AF94" s="2">
        <f>Q94</f>
        <v>64</v>
      </c>
      <c r="AG94" s="2"/>
      <c r="AH94" s="2"/>
      <c r="AI94" s="2"/>
      <c r="AJ94" s="2"/>
      <c r="AK94" s="2"/>
      <c r="AL94" s="2">
        <f>Q94</f>
        <v>64</v>
      </c>
      <c r="AM94" s="2"/>
      <c r="AN94" s="2"/>
      <c r="AO94" s="2">
        <f>AL94</f>
        <v>64</v>
      </c>
      <c r="AP94" s="2"/>
      <c r="AQ94" s="2"/>
      <c r="AR94" s="2"/>
      <c r="AS94" s="2"/>
      <c r="AT94" s="2">
        <f>AO94</f>
        <v>64</v>
      </c>
      <c r="AU94" s="54">
        <f t="shared" si="15"/>
        <v>64</v>
      </c>
      <c r="AV94" s="56" t="str">
        <f>LOOKUP(AU94,IT70:IU185)</f>
        <v>Tema ligeramente problemático</v>
      </c>
      <c r="AZ94" s="4" t="e">
        <f>LOOKUP(AS91,AZ89:BA90)</f>
        <v>#N/A</v>
      </c>
      <c r="BE94" s="4" t="e">
        <f>LOOKUP(AJ88,BE89:BF90)</f>
        <v>#N/A</v>
      </c>
      <c r="BT94" s="4" t="e">
        <f>LOOKUP(T80,BT85:BU86)</f>
        <v>#N/A</v>
      </c>
      <c r="BV94" s="4">
        <v>78</v>
      </c>
      <c r="BW94" s="4">
        <v>115</v>
      </c>
      <c r="BX94" s="4">
        <v>115</v>
      </c>
      <c r="BY94" s="4">
        <v>115</v>
      </c>
      <c r="BZ94" s="4">
        <v>115</v>
      </c>
      <c r="CA94" s="4">
        <v>115</v>
      </c>
      <c r="CB94" s="4">
        <v>115</v>
      </c>
      <c r="CC94" s="4">
        <v>115</v>
      </c>
      <c r="CD94" s="4">
        <v>115</v>
      </c>
      <c r="CE94" s="4">
        <v>115</v>
      </c>
      <c r="CF94" s="4">
        <v>115</v>
      </c>
      <c r="CG94" s="4">
        <v>115</v>
      </c>
      <c r="CH94" s="4">
        <v>115</v>
      </c>
      <c r="CI94" s="4">
        <v>115</v>
      </c>
      <c r="CJ94" s="4">
        <v>115</v>
      </c>
      <c r="CK94" s="4">
        <v>115</v>
      </c>
      <c r="CL94" s="4">
        <v>115</v>
      </c>
      <c r="CM94" s="4">
        <v>115</v>
      </c>
      <c r="CN94" s="4">
        <v>115</v>
      </c>
      <c r="CO94" s="4">
        <v>115</v>
      </c>
      <c r="CP94" s="4">
        <v>115</v>
      </c>
      <c r="CQ94" s="4">
        <v>115</v>
      </c>
      <c r="CR94" s="4">
        <v>115</v>
      </c>
      <c r="CS94" s="4">
        <v>115</v>
      </c>
      <c r="CT94" s="4">
        <v>115</v>
      </c>
      <c r="CU94" s="4">
        <v>115</v>
      </c>
      <c r="CV94" s="4">
        <v>115</v>
      </c>
      <c r="CW94" s="4">
        <v>115</v>
      </c>
      <c r="CX94" s="4">
        <v>100</v>
      </c>
      <c r="CY94" s="4">
        <v>100</v>
      </c>
      <c r="CZ94" s="4">
        <v>115</v>
      </c>
      <c r="DA94" s="4">
        <v>115</v>
      </c>
      <c r="DB94" s="4">
        <v>115</v>
      </c>
      <c r="DC94" s="4">
        <v>115</v>
      </c>
      <c r="DD94" s="4">
        <v>115</v>
      </c>
      <c r="DE94" s="4">
        <v>115</v>
      </c>
      <c r="DF94" s="4">
        <v>115</v>
      </c>
      <c r="DG94" s="4">
        <v>115</v>
      </c>
      <c r="DH94" s="4">
        <v>115</v>
      </c>
      <c r="DI94" s="4">
        <v>115</v>
      </c>
      <c r="DJ94" s="4">
        <v>115</v>
      </c>
      <c r="DK94" s="4">
        <v>115</v>
      </c>
      <c r="DL94" s="4">
        <v>115</v>
      </c>
      <c r="DM94" s="4">
        <v>115</v>
      </c>
      <c r="DN94" s="4">
        <v>115</v>
      </c>
      <c r="DO94" s="4">
        <v>115</v>
      </c>
      <c r="DP94" s="4">
        <v>115</v>
      </c>
      <c r="DQ94" s="4">
        <v>115</v>
      </c>
      <c r="DR94" s="4">
        <v>115</v>
      </c>
      <c r="DS94" s="4">
        <v>115</v>
      </c>
      <c r="DT94" s="4">
        <v>115</v>
      </c>
      <c r="DU94" s="4">
        <v>115</v>
      </c>
      <c r="DV94" s="4">
        <v>115</v>
      </c>
      <c r="DW94" s="4">
        <v>115</v>
      </c>
      <c r="DX94" s="4">
        <v>115</v>
      </c>
      <c r="DY94" s="4">
        <v>115</v>
      </c>
      <c r="DZ94" s="4">
        <v>115</v>
      </c>
      <c r="EA94" s="4">
        <v>100</v>
      </c>
      <c r="EB94" s="4">
        <v>100</v>
      </c>
      <c r="EC94" s="4">
        <v>115</v>
      </c>
      <c r="ED94" s="4">
        <v>115</v>
      </c>
      <c r="EE94" s="4">
        <v>115</v>
      </c>
      <c r="EF94" s="4">
        <v>115</v>
      </c>
      <c r="EG94" s="4">
        <v>115</v>
      </c>
      <c r="EH94" s="4">
        <v>115</v>
      </c>
      <c r="EI94" s="4">
        <v>115</v>
      </c>
      <c r="EJ94" s="4">
        <v>115</v>
      </c>
      <c r="EK94" s="4">
        <v>115</v>
      </c>
      <c r="EL94" s="4">
        <v>115</v>
      </c>
      <c r="EM94" s="4">
        <v>115</v>
      </c>
      <c r="EN94" s="4">
        <v>115</v>
      </c>
      <c r="EO94" s="4">
        <v>115</v>
      </c>
      <c r="EP94" s="4">
        <v>115</v>
      </c>
      <c r="EQ94" s="4">
        <v>115</v>
      </c>
      <c r="ER94" s="4">
        <v>115</v>
      </c>
      <c r="ES94" s="4">
        <v>115</v>
      </c>
      <c r="ET94" s="4">
        <v>115</v>
      </c>
      <c r="EU94" s="4">
        <v>115</v>
      </c>
      <c r="EV94" s="4">
        <v>115</v>
      </c>
      <c r="EW94" s="4">
        <v>115</v>
      </c>
      <c r="EX94" s="4">
        <v>115</v>
      </c>
      <c r="EY94" s="4">
        <v>115</v>
      </c>
      <c r="EZ94" s="4">
        <v>115</v>
      </c>
      <c r="FA94" s="4">
        <v>115</v>
      </c>
      <c r="FB94" s="4">
        <v>115</v>
      </c>
      <c r="FC94" s="4">
        <v>115</v>
      </c>
      <c r="FD94" s="4">
        <v>100</v>
      </c>
      <c r="FE94" s="4">
        <v>100</v>
      </c>
      <c r="FF94" s="4">
        <v>115</v>
      </c>
      <c r="FG94" s="4">
        <v>115</v>
      </c>
      <c r="FH94" s="4">
        <v>115</v>
      </c>
      <c r="FI94" s="4">
        <v>115</v>
      </c>
      <c r="FJ94" s="4">
        <v>115</v>
      </c>
      <c r="FK94" s="4">
        <v>115</v>
      </c>
      <c r="FL94" s="4">
        <v>115</v>
      </c>
      <c r="FM94" s="4">
        <v>115</v>
      </c>
      <c r="FN94" s="4">
        <v>115</v>
      </c>
      <c r="FO94" s="4">
        <v>115</v>
      </c>
      <c r="FP94" s="4">
        <v>115</v>
      </c>
      <c r="FQ94" s="4">
        <v>115</v>
      </c>
      <c r="FR94" s="4">
        <v>115</v>
      </c>
      <c r="FS94" s="4">
        <v>115</v>
      </c>
      <c r="FT94" s="4">
        <v>115</v>
      </c>
      <c r="FU94" s="4">
        <v>115</v>
      </c>
      <c r="FV94" s="4">
        <v>115</v>
      </c>
      <c r="FW94" s="4">
        <v>115</v>
      </c>
      <c r="FX94" s="4">
        <v>115</v>
      </c>
      <c r="FY94" s="4">
        <v>115</v>
      </c>
      <c r="FZ94" s="4">
        <v>115</v>
      </c>
      <c r="GA94" s="4">
        <v>115</v>
      </c>
      <c r="GB94" s="4">
        <v>115</v>
      </c>
      <c r="GC94" s="4">
        <v>115</v>
      </c>
      <c r="GD94" s="4">
        <v>115</v>
      </c>
      <c r="GE94" s="4">
        <v>115</v>
      </c>
      <c r="GF94" s="4">
        <v>115</v>
      </c>
      <c r="GG94" s="4">
        <v>100</v>
      </c>
      <c r="GH94" s="4">
        <v>100</v>
      </c>
      <c r="GJ94" s="4">
        <v>80</v>
      </c>
      <c r="GK94" s="4">
        <v>2</v>
      </c>
      <c r="GL94" s="4">
        <v>25</v>
      </c>
      <c r="GP94" s="4">
        <v>19</v>
      </c>
      <c r="GQ94" s="4">
        <v>14</v>
      </c>
      <c r="GT94" s="4">
        <v>-43</v>
      </c>
      <c r="GU94" s="4">
        <v>-4</v>
      </c>
      <c r="HH94" s="66"/>
      <c r="HI94" s="66"/>
      <c r="HJ94" s="66"/>
      <c r="HK94" s="66"/>
      <c r="IT94" s="4">
        <v>24</v>
      </c>
      <c r="IU94" s="4" t="s">
        <v>61</v>
      </c>
    </row>
    <row r="95" spans="1:255" x14ac:dyDescent="0.25">
      <c r="A95" s="4" t="s">
        <v>122</v>
      </c>
      <c r="E95" s="4">
        <f>SUM(C56+C58+B59*3+B60+B62+C64*2+F43+E60*3+F61+I44+I59+I64*2+I65*3+L43+L52+L58+M65+O45*3+O58*2+R47+R59+R62+R64*2+R65*3)</f>
        <v>14</v>
      </c>
      <c r="I95" s="28" t="s">
        <v>123</v>
      </c>
      <c r="J95" s="29"/>
      <c r="K95" s="6"/>
      <c r="L95" s="6"/>
      <c r="M95" s="6"/>
      <c r="N95" s="2">
        <f t="shared" si="0"/>
        <v>26</v>
      </c>
      <c r="O95" s="2">
        <f>LOOKUP(O104,FE109:FE112,GB109:GB112)</f>
        <v>79</v>
      </c>
      <c r="P95" s="6"/>
      <c r="Q95" s="2">
        <f t="shared" si="11"/>
        <v>79</v>
      </c>
      <c r="R95" s="2"/>
      <c r="S95" s="2"/>
      <c r="T95" s="2"/>
      <c r="U95" s="2"/>
      <c r="V95" s="47"/>
      <c r="W95" s="47"/>
      <c r="X95" s="47"/>
      <c r="Y95" s="47"/>
      <c r="Z95" s="47"/>
      <c r="AA95" s="47"/>
      <c r="AB95" s="47"/>
      <c r="AC95" s="47"/>
      <c r="AD95" s="47"/>
      <c r="AE95" s="2"/>
      <c r="AF95" s="2">
        <f>Q95</f>
        <v>79</v>
      </c>
      <c r="AG95" s="2"/>
      <c r="AH95" s="2"/>
      <c r="AI95" s="2"/>
      <c r="AJ95" s="2"/>
      <c r="AK95" s="2"/>
      <c r="AL95" s="2">
        <f>Q95</f>
        <v>79</v>
      </c>
      <c r="AM95" s="2"/>
      <c r="AN95" s="2"/>
      <c r="AO95" s="2">
        <f>AL95</f>
        <v>79</v>
      </c>
      <c r="AP95" s="2"/>
      <c r="AQ95" s="2"/>
      <c r="AR95" s="2"/>
      <c r="AS95" s="2"/>
      <c r="AT95" s="2">
        <f>AO95</f>
        <v>79</v>
      </c>
      <c r="AU95" s="54">
        <f t="shared" si="15"/>
        <v>79</v>
      </c>
      <c r="AV95" s="56" t="str">
        <f>LOOKUP(AU95,IT70:IU185)</f>
        <v>Área problemática</v>
      </c>
      <c r="BE95" s="4" t="e">
        <f>LOOKUP(AJ89,BE89:BF90)</f>
        <v>#N/A</v>
      </c>
      <c r="BT95" s="4" t="e">
        <f>LOOKUP(T81,BT85:BU86)</f>
        <v>#N/A</v>
      </c>
      <c r="BV95" s="4">
        <v>79</v>
      </c>
      <c r="BW95" s="4">
        <v>115</v>
      </c>
      <c r="BX95" s="4">
        <v>115</v>
      </c>
      <c r="BY95" s="4">
        <v>115</v>
      </c>
      <c r="BZ95" s="4">
        <v>115</v>
      </c>
      <c r="CA95" s="4">
        <v>115</v>
      </c>
      <c r="CB95" s="4">
        <v>115</v>
      </c>
      <c r="CC95" s="4">
        <v>115</v>
      </c>
      <c r="CD95" s="4">
        <v>115</v>
      </c>
      <c r="CE95" s="4">
        <v>115</v>
      </c>
      <c r="CF95" s="4">
        <v>115</v>
      </c>
      <c r="CG95" s="4">
        <v>115</v>
      </c>
      <c r="CH95" s="4">
        <v>115</v>
      </c>
      <c r="CI95" s="4">
        <v>115</v>
      </c>
      <c r="CJ95" s="4">
        <v>115</v>
      </c>
      <c r="CK95" s="4">
        <v>115</v>
      </c>
      <c r="CL95" s="4">
        <v>115</v>
      </c>
      <c r="CM95" s="4">
        <v>115</v>
      </c>
      <c r="CN95" s="4">
        <v>115</v>
      </c>
      <c r="CO95" s="4">
        <v>115</v>
      </c>
      <c r="CP95" s="4">
        <v>115</v>
      </c>
      <c r="CQ95" s="4">
        <v>115</v>
      </c>
      <c r="CR95" s="4">
        <v>115</v>
      </c>
      <c r="CS95" s="4">
        <v>115</v>
      </c>
      <c r="CT95" s="4">
        <v>115</v>
      </c>
      <c r="CU95" s="4">
        <v>115</v>
      </c>
      <c r="CV95" s="4">
        <v>115</v>
      </c>
      <c r="CW95" s="4">
        <v>115</v>
      </c>
      <c r="CX95" s="4">
        <v>100</v>
      </c>
      <c r="CY95" s="4">
        <v>100</v>
      </c>
      <c r="CZ95" s="4">
        <v>115</v>
      </c>
      <c r="DA95" s="4">
        <v>115</v>
      </c>
      <c r="DB95" s="4">
        <v>115</v>
      </c>
      <c r="DC95" s="4">
        <v>115</v>
      </c>
      <c r="DD95" s="4">
        <v>115</v>
      </c>
      <c r="DE95" s="4">
        <v>115</v>
      </c>
      <c r="DF95" s="4">
        <v>115</v>
      </c>
      <c r="DG95" s="4">
        <v>115</v>
      </c>
      <c r="DH95" s="4">
        <v>115</v>
      </c>
      <c r="DI95" s="4">
        <v>115</v>
      </c>
      <c r="DJ95" s="4">
        <v>115</v>
      </c>
      <c r="DK95" s="4">
        <v>115</v>
      </c>
      <c r="DL95" s="4">
        <v>115</v>
      </c>
      <c r="DM95" s="4">
        <v>115</v>
      </c>
      <c r="DN95" s="4">
        <v>115</v>
      </c>
      <c r="DO95" s="4">
        <v>115</v>
      </c>
      <c r="DP95" s="4">
        <v>115</v>
      </c>
      <c r="DQ95" s="4">
        <v>115</v>
      </c>
      <c r="DR95" s="4">
        <v>115</v>
      </c>
      <c r="DS95" s="4">
        <v>115</v>
      </c>
      <c r="DT95" s="4">
        <v>115</v>
      </c>
      <c r="DU95" s="4">
        <v>115</v>
      </c>
      <c r="DV95" s="4">
        <v>115</v>
      </c>
      <c r="DW95" s="4">
        <v>115</v>
      </c>
      <c r="DX95" s="4">
        <v>115</v>
      </c>
      <c r="DY95" s="4">
        <v>115</v>
      </c>
      <c r="DZ95" s="4">
        <v>115</v>
      </c>
      <c r="EA95" s="4">
        <v>100</v>
      </c>
      <c r="EB95" s="4">
        <v>100</v>
      </c>
      <c r="EC95" s="4">
        <v>115</v>
      </c>
      <c r="ED95" s="4">
        <v>115</v>
      </c>
      <c r="EE95" s="4">
        <v>115</v>
      </c>
      <c r="EF95" s="4">
        <v>115</v>
      </c>
      <c r="EG95" s="4">
        <v>115</v>
      </c>
      <c r="EH95" s="4">
        <v>115</v>
      </c>
      <c r="EI95" s="4">
        <v>115</v>
      </c>
      <c r="EJ95" s="4">
        <v>115</v>
      </c>
      <c r="EK95" s="4">
        <v>115</v>
      </c>
      <c r="EL95" s="4">
        <v>115</v>
      </c>
      <c r="EM95" s="4">
        <v>115</v>
      </c>
      <c r="EN95" s="4">
        <v>115</v>
      </c>
      <c r="EO95" s="4">
        <v>115</v>
      </c>
      <c r="EP95" s="4">
        <v>115</v>
      </c>
      <c r="EQ95" s="4">
        <v>115</v>
      </c>
      <c r="ER95" s="4">
        <v>115</v>
      </c>
      <c r="ES95" s="4">
        <v>115</v>
      </c>
      <c r="ET95" s="4">
        <v>115</v>
      </c>
      <c r="EU95" s="4">
        <v>115</v>
      </c>
      <c r="EV95" s="4">
        <v>115</v>
      </c>
      <c r="EW95" s="4">
        <v>115</v>
      </c>
      <c r="EX95" s="4">
        <v>115</v>
      </c>
      <c r="EY95" s="4">
        <v>115</v>
      </c>
      <c r="EZ95" s="4">
        <v>115</v>
      </c>
      <c r="FA95" s="4">
        <v>115</v>
      </c>
      <c r="FB95" s="4">
        <v>115</v>
      </c>
      <c r="FC95" s="4">
        <v>115</v>
      </c>
      <c r="FD95" s="4">
        <v>100</v>
      </c>
      <c r="FE95" s="4">
        <v>100</v>
      </c>
      <c r="FF95" s="4">
        <v>115</v>
      </c>
      <c r="FG95" s="4">
        <v>115</v>
      </c>
      <c r="FH95" s="4">
        <v>115</v>
      </c>
      <c r="FI95" s="4">
        <v>115</v>
      </c>
      <c r="FJ95" s="4">
        <v>115</v>
      </c>
      <c r="FK95" s="4">
        <v>115</v>
      </c>
      <c r="FL95" s="4">
        <v>115</v>
      </c>
      <c r="FM95" s="4">
        <v>115</v>
      </c>
      <c r="FN95" s="4">
        <v>115</v>
      </c>
      <c r="FO95" s="4">
        <v>115</v>
      </c>
      <c r="FP95" s="4">
        <v>115</v>
      </c>
      <c r="FQ95" s="4">
        <v>115</v>
      </c>
      <c r="FR95" s="4">
        <v>115</v>
      </c>
      <c r="FS95" s="4">
        <v>115</v>
      </c>
      <c r="FT95" s="4">
        <v>115</v>
      </c>
      <c r="FU95" s="4">
        <v>115</v>
      </c>
      <c r="FV95" s="4">
        <v>115</v>
      </c>
      <c r="FW95" s="4">
        <v>115</v>
      </c>
      <c r="FX95" s="4">
        <v>115</v>
      </c>
      <c r="FY95" s="4">
        <v>115</v>
      </c>
      <c r="FZ95" s="4">
        <v>115</v>
      </c>
      <c r="GA95" s="4">
        <v>115</v>
      </c>
      <c r="GB95" s="4">
        <v>115</v>
      </c>
      <c r="GC95" s="4">
        <v>115</v>
      </c>
      <c r="GD95" s="4">
        <v>115</v>
      </c>
      <c r="GE95" s="4">
        <v>115</v>
      </c>
      <c r="GF95" s="4">
        <v>115</v>
      </c>
      <c r="GG95" s="4">
        <v>100</v>
      </c>
      <c r="GH95" s="4">
        <v>100</v>
      </c>
      <c r="GJ95" s="4">
        <v>81</v>
      </c>
      <c r="GK95" s="4">
        <v>2</v>
      </c>
      <c r="GL95" s="4">
        <v>25</v>
      </c>
      <c r="GP95" s="4">
        <v>20</v>
      </c>
      <c r="GQ95" s="4">
        <v>15</v>
      </c>
      <c r="GT95" s="4">
        <v>-42</v>
      </c>
      <c r="GU95" s="4">
        <v>-4</v>
      </c>
      <c r="HH95" s="66"/>
      <c r="HI95" s="66"/>
      <c r="HJ95" s="66"/>
      <c r="HK95" s="66"/>
      <c r="IT95" s="4">
        <v>25</v>
      </c>
      <c r="IU95" s="4" t="s">
        <v>61</v>
      </c>
    </row>
    <row r="96" spans="1:255" x14ac:dyDescent="0.25">
      <c r="A96" s="4" t="s">
        <v>124</v>
      </c>
      <c r="E96" s="4">
        <f>SUM(C44+B49+B56+B58*3+C59+C62+B64+E48*3+F55+F56+F57+F60+E61+F65+J48+J49+I54*2+J59+I62*2+J64+J65+J66*2+M42+M44+L45*3+M56+M58+M60+M63+L65*2)</f>
        <v>19</v>
      </c>
      <c r="F96" s="4">
        <f>SUM(P45+O50+P52*2+P58+P61+R48*3+R49*3+S59+S64+S66+Y43+Y48)</f>
        <v>11</v>
      </c>
      <c r="I96" s="28" t="s">
        <v>125</v>
      </c>
      <c r="J96" s="29"/>
      <c r="K96" s="6"/>
      <c r="L96" s="6"/>
      <c r="M96" s="6"/>
      <c r="N96" s="2">
        <f t="shared" si="0"/>
        <v>14</v>
      </c>
      <c r="O96" s="2">
        <f>LOOKUP(O104,FE109:FE112,GC109:GC112)</f>
        <v>53</v>
      </c>
      <c r="P96" s="6"/>
      <c r="Q96" s="2">
        <f t="shared" si="11"/>
        <v>53</v>
      </c>
      <c r="R96" s="2"/>
      <c r="S96" s="2"/>
      <c r="T96" s="2"/>
      <c r="U96" s="2"/>
      <c r="V96" s="47"/>
      <c r="W96" s="47"/>
      <c r="X96" s="47"/>
      <c r="Y96" s="47"/>
      <c r="Z96" s="47"/>
      <c r="AA96" s="47"/>
      <c r="AB96" s="47"/>
      <c r="AC96" s="47"/>
      <c r="AD96" s="47"/>
      <c r="AE96" s="2"/>
      <c r="AF96" s="2">
        <f>Q96</f>
        <v>53</v>
      </c>
      <c r="AG96" s="2"/>
      <c r="AH96" s="2"/>
      <c r="AI96" s="2"/>
      <c r="AJ96" s="2"/>
      <c r="AK96" s="2"/>
      <c r="AL96" s="2">
        <f>Q96</f>
        <v>53</v>
      </c>
      <c r="AM96" s="2"/>
      <c r="AN96" s="2"/>
      <c r="AO96" s="2">
        <f>AL96</f>
        <v>53</v>
      </c>
      <c r="AP96" s="2"/>
      <c r="AQ96" s="2"/>
      <c r="AR96" s="2"/>
      <c r="AS96" s="2"/>
      <c r="AT96" s="2">
        <f>AO96</f>
        <v>53</v>
      </c>
      <c r="AU96" s="54">
        <f t="shared" si="15"/>
        <v>53</v>
      </c>
      <c r="AV96" s="56" t="str">
        <f>LOOKUP(AU96,IT70:IU185)</f>
        <v>Indicador nulo</v>
      </c>
      <c r="AZ96" s="4" t="e">
        <f>LOOKUP(AS97,AZ89:BA90)</f>
        <v>#N/A</v>
      </c>
      <c r="BE96" s="4" t="e">
        <f>LOOKUP(AJ90,BE89:BF90)</f>
        <v>#N/A</v>
      </c>
      <c r="BT96" s="4" t="e">
        <f>LOOKUP(T82,BT85:BU86)</f>
        <v>#N/A</v>
      </c>
      <c r="BV96" s="4">
        <v>80</v>
      </c>
      <c r="BW96" s="4">
        <v>115</v>
      </c>
      <c r="BX96" s="4">
        <v>115</v>
      </c>
      <c r="BY96" s="4">
        <v>115</v>
      </c>
      <c r="BZ96" s="4">
        <v>115</v>
      </c>
      <c r="CA96" s="4">
        <v>115</v>
      </c>
      <c r="CB96" s="4">
        <v>115</v>
      </c>
      <c r="CC96" s="4">
        <v>115</v>
      </c>
      <c r="CD96" s="4">
        <v>115</v>
      </c>
      <c r="CE96" s="4">
        <v>115</v>
      </c>
      <c r="CF96" s="4">
        <v>115</v>
      </c>
      <c r="CG96" s="4">
        <v>115</v>
      </c>
      <c r="CH96" s="4">
        <v>115</v>
      </c>
      <c r="CI96" s="4">
        <v>115</v>
      </c>
      <c r="CJ96" s="4">
        <v>115</v>
      </c>
      <c r="CK96" s="4">
        <v>115</v>
      </c>
      <c r="CL96" s="4">
        <v>115</v>
      </c>
      <c r="CM96" s="4">
        <v>115</v>
      </c>
      <c r="CN96" s="4">
        <v>115</v>
      </c>
      <c r="CO96" s="4">
        <v>115</v>
      </c>
      <c r="CP96" s="4">
        <v>115</v>
      </c>
      <c r="CQ96" s="4">
        <v>115</v>
      </c>
      <c r="CR96" s="4">
        <v>115</v>
      </c>
      <c r="CS96" s="4">
        <v>115</v>
      </c>
      <c r="CT96" s="4">
        <v>115</v>
      </c>
      <c r="CU96" s="4">
        <v>115</v>
      </c>
      <c r="CV96" s="4">
        <v>115</v>
      </c>
      <c r="CW96" s="4">
        <v>115</v>
      </c>
      <c r="CX96" s="4">
        <v>100</v>
      </c>
      <c r="CY96" s="4">
        <v>100</v>
      </c>
      <c r="CZ96" s="4">
        <v>115</v>
      </c>
      <c r="DA96" s="4">
        <v>115</v>
      </c>
      <c r="DB96" s="4">
        <v>115</v>
      </c>
      <c r="DC96" s="4">
        <v>115</v>
      </c>
      <c r="DD96" s="4">
        <v>115</v>
      </c>
      <c r="DE96" s="4">
        <v>115</v>
      </c>
      <c r="DF96" s="4">
        <v>115</v>
      </c>
      <c r="DG96" s="4">
        <v>115</v>
      </c>
      <c r="DH96" s="4">
        <v>115</v>
      </c>
      <c r="DI96" s="4">
        <v>115</v>
      </c>
      <c r="DJ96" s="4">
        <v>115</v>
      </c>
      <c r="DK96" s="4">
        <v>115</v>
      </c>
      <c r="DL96" s="4">
        <v>115</v>
      </c>
      <c r="DM96" s="4">
        <v>115</v>
      </c>
      <c r="DN96" s="4">
        <v>115</v>
      </c>
      <c r="DO96" s="4">
        <v>115</v>
      </c>
      <c r="DP96" s="4">
        <v>115</v>
      </c>
      <c r="DQ96" s="4">
        <v>115</v>
      </c>
      <c r="DR96" s="4">
        <v>115</v>
      </c>
      <c r="DS96" s="4">
        <v>115</v>
      </c>
      <c r="DT96" s="4">
        <v>115</v>
      </c>
      <c r="DU96" s="4">
        <v>115</v>
      </c>
      <c r="DV96" s="4">
        <v>115</v>
      </c>
      <c r="DW96" s="4">
        <v>115</v>
      </c>
      <c r="DX96" s="4">
        <v>115</v>
      </c>
      <c r="DY96" s="4">
        <v>115</v>
      </c>
      <c r="DZ96" s="4">
        <v>115</v>
      </c>
      <c r="EA96" s="4">
        <v>100</v>
      </c>
      <c r="EB96" s="4">
        <v>100</v>
      </c>
      <c r="EC96" s="4">
        <v>115</v>
      </c>
      <c r="ED96" s="4">
        <v>115</v>
      </c>
      <c r="EE96" s="4">
        <v>115</v>
      </c>
      <c r="EF96" s="4">
        <v>115</v>
      </c>
      <c r="EG96" s="4">
        <v>115</v>
      </c>
      <c r="EH96" s="4">
        <v>115</v>
      </c>
      <c r="EI96" s="4">
        <v>115</v>
      </c>
      <c r="EJ96" s="4">
        <v>115</v>
      </c>
      <c r="EK96" s="4">
        <v>115</v>
      </c>
      <c r="EL96" s="4">
        <v>115</v>
      </c>
      <c r="EM96" s="4">
        <v>115</v>
      </c>
      <c r="EN96" s="4">
        <v>115</v>
      </c>
      <c r="EO96" s="4">
        <v>115</v>
      </c>
      <c r="EP96" s="4">
        <v>115</v>
      </c>
      <c r="EQ96" s="4">
        <v>115</v>
      </c>
      <c r="ER96" s="4">
        <v>115</v>
      </c>
      <c r="ES96" s="4">
        <v>115</v>
      </c>
      <c r="ET96" s="4">
        <v>115</v>
      </c>
      <c r="EU96" s="4">
        <v>115</v>
      </c>
      <c r="EV96" s="4">
        <v>115</v>
      </c>
      <c r="EW96" s="4">
        <v>115</v>
      </c>
      <c r="EX96" s="4">
        <v>115</v>
      </c>
      <c r="EY96" s="4">
        <v>115</v>
      </c>
      <c r="EZ96" s="4">
        <v>115</v>
      </c>
      <c r="FA96" s="4">
        <v>115</v>
      </c>
      <c r="FB96" s="4">
        <v>115</v>
      </c>
      <c r="FC96" s="4">
        <v>115</v>
      </c>
      <c r="FD96" s="4">
        <v>100</v>
      </c>
      <c r="FE96" s="4">
        <v>100</v>
      </c>
      <c r="FF96" s="4">
        <v>115</v>
      </c>
      <c r="FG96" s="4">
        <v>115</v>
      </c>
      <c r="FH96" s="4">
        <v>115</v>
      </c>
      <c r="FI96" s="4">
        <v>115</v>
      </c>
      <c r="FJ96" s="4">
        <v>115</v>
      </c>
      <c r="FK96" s="4">
        <v>115</v>
      </c>
      <c r="FL96" s="4">
        <v>115</v>
      </c>
      <c r="FM96" s="4">
        <v>115</v>
      </c>
      <c r="FN96" s="4">
        <v>115</v>
      </c>
      <c r="FO96" s="4">
        <v>115</v>
      </c>
      <c r="FP96" s="4">
        <v>115</v>
      </c>
      <c r="FQ96" s="4">
        <v>115</v>
      </c>
      <c r="FR96" s="4">
        <v>115</v>
      </c>
      <c r="FS96" s="4">
        <v>115</v>
      </c>
      <c r="FT96" s="4">
        <v>115</v>
      </c>
      <c r="FU96" s="4">
        <v>115</v>
      </c>
      <c r="FV96" s="4">
        <v>115</v>
      </c>
      <c r="FW96" s="4">
        <v>115</v>
      </c>
      <c r="FX96" s="4">
        <v>115</v>
      </c>
      <c r="FY96" s="4">
        <v>115</v>
      </c>
      <c r="FZ96" s="4">
        <v>115</v>
      </c>
      <c r="GA96" s="4">
        <v>115</v>
      </c>
      <c r="GB96" s="4">
        <v>115</v>
      </c>
      <c r="GC96" s="4">
        <v>115</v>
      </c>
      <c r="GD96" s="4">
        <v>115</v>
      </c>
      <c r="GE96" s="4">
        <v>115</v>
      </c>
      <c r="GF96" s="4">
        <v>115</v>
      </c>
      <c r="GG96" s="4">
        <v>100</v>
      </c>
      <c r="GH96" s="4">
        <v>100</v>
      </c>
      <c r="GJ96" s="4">
        <v>82</v>
      </c>
      <c r="GK96" s="4">
        <v>2</v>
      </c>
      <c r="GL96" s="4">
        <v>25</v>
      </c>
      <c r="GP96" s="4">
        <v>21</v>
      </c>
      <c r="GQ96" s="4">
        <v>15</v>
      </c>
      <c r="GT96" s="4">
        <v>-41</v>
      </c>
      <c r="GU96" s="4">
        <v>-4</v>
      </c>
      <c r="HH96" s="66"/>
      <c r="HI96" s="66"/>
      <c r="HJ96" s="66"/>
      <c r="HK96" s="66"/>
      <c r="IT96" s="4">
        <v>26</v>
      </c>
      <c r="IU96" s="4" t="s">
        <v>61</v>
      </c>
    </row>
    <row r="97" spans="1:255" x14ac:dyDescent="0.25">
      <c r="A97" s="4" t="s">
        <v>126</v>
      </c>
      <c r="E97" s="4">
        <f>SUM(B42+C51*2+B56+B57*3+E42*2+E47+F55+E58*2+E59*3+E61+I54*2+I55*2+I60+I62*2+M43+L46*2+L50*2+L61*3+L64+L65*2+O47*2+O48+P52*2+O53+O59+O66*3+R43+S47+R49+R57+R58*2+R63*3+X44*2)</f>
        <v>9</v>
      </c>
      <c r="I97" s="28" t="s">
        <v>127</v>
      </c>
      <c r="J97" s="29"/>
      <c r="K97" s="6"/>
      <c r="L97" s="6"/>
      <c r="M97" s="6"/>
      <c r="N97" s="2">
        <f t="shared" si="0"/>
        <v>30</v>
      </c>
      <c r="O97" s="2">
        <f>LOOKUP(O104,FE109:FE112,GD109:GD112)</f>
        <v>22</v>
      </c>
      <c r="P97" s="6"/>
      <c r="Q97" s="2">
        <f t="shared" si="11"/>
        <v>22</v>
      </c>
      <c r="R97" s="2"/>
      <c r="S97" s="2"/>
      <c r="T97" s="2"/>
      <c r="U97" s="2"/>
      <c r="V97" s="47"/>
      <c r="W97" s="47"/>
      <c r="X97" s="47"/>
      <c r="Y97" s="47"/>
      <c r="Z97" s="47"/>
      <c r="AA97" s="47"/>
      <c r="AB97" s="47"/>
      <c r="AC97" s="47"/>
      <c r="AD97" s="47"/>
      <c r="AE97" s="2"/>
      <c r="AF97" s="2">
        <f>Q97+GN83</f>
        <v>23</v>
      </c>
      <c r="AG97" s="2"/>
      <c r="AH97" s="2">
        <f>IF(AF97&lt;0,1,0)</f>
        <v>0</v>
      </c>
      <c r="AI97" s="2">
        <f t="shared" si="13"/>
        <v>0</v>
      </c>
      <c r="AJ97" s="2">
        <f t="shared" si="14"/>
        <v>0</v>
      </c>
      <c r="AK97" s="2"/>
      <c r="AL97" s="2">
        <f>IF((AF97&gt;-1)*AND(AF97&lt;116),AF97,BE103)</f>
        <v>23</v>
      </c>
      <c r="AM97" s="2"/>
      <c r="AN97" s="2"/>
      <c r="AO97" s="2">
        <f>AL97+BE83</f>
        <v>23</v>
      </c>
      <c r="AP97" s="2"/>
      <c r="AQ97" s="2">
        <f>IF(AO97&lt;0,1,0)</f>
        <v>0</v>
      </c>
      <c r="AR97" s="2">
        <f>IF(AO97&gt;115,2,0)</f>
        <v>0</v>
      </c>
      <c r="AS97" s="2">
        <f>SUM(AQ97:AR97)</f>
        <v>0</v>
      </c>
      <c r="AT97" s="2">
        <f>IF((AO97&lt;116)*AND(AO97&gt;-1),AO97,AZ96)</f>
        <v>23</v>
      </c>
      <c r="AU97" s="54">
        <f t="shared" si="15"/>
        <v>23</v>
      </c>
      <c r="AV97" s="56" t="str">
        <f>LOOKUP(AU97,IT70:IU185)</f>
        <v>Indicador nulo</v>
      </c>
      <c r="AZ97" s="4" t="e">
        <f>LOOKUP(AS98,AZ89:BA90)</f>
        <v>#N/A</v>
      </c>
      <c r="BE97" s="4" t="e">
        <f>LOOKUP(AJ91,BE89:BF90)</f>
        <v>#N/A</v>
      </c>
      <c r="BT97" s="4" t="e">
        <f>LOOKUP(T83,BT85:BU86)</f>
        <v>#N/A</v>
      </c>
      <c r="BV97" s="4">
        <v>81</v>
      </c>
      <c r="BW97" s="4">
        <v>115</v>
      </c>
      <c r="BX97" s="4">
        <v>115</v>
      </c>
      <c r="BY97" s="4">
        <v>115</v>
      </c>
      <c r="BZ97" s="4">
        <v>115</v>
      </c>
      <c r="CA97" s="4">
        <v>115</v>
      </c>
      <c r="CB97" s="4">
        <v>115</v>
      </c>
      <c r="CC97" s="4">
        <v>115</v>
      </c>
      <c r="CD97" s="4">
        <v>115</v>
      </c>
      <c r="CE97" s="4">
        <v>115</v>
      </c>
      <c r="CF97" s="4">
        <v>115</v>
      </c>
      <c r="CG97" s="4">
        <v>115</v>
      </c>
      <c r="CH97" s="4">
        <v>115</v>
      </c>
      <c r="CI97" s="4">
        <v>115</v>
      </c>
      <c r="CJ97" s="4">
        <v>115</v>
      </c>
      <c r="CK97" s="4">
        <v>115</v>
      </c>
      <c r="CL97" s="4">
        <v>115</v>
      </c>
      <c r="CM97" s="4">
        <v>115</v>
      </c>
      <c r="CN97" s="4">
        <v>115</v>
      </c>
      <c r="CO97" s="4">
        <v>115</v>
      </c>
      <c r="CP97" s="4">
        <v>115</v>
      </c>
      <c r="CQ97" s="4">
        <v>115</v>
      </c>
      <c r="CR97" s="4">
        <v>115</v>
      </c>
      <c r="CS97" s="4">
        <v>115</v>
      </c>
      <c r="CT97" s="4">
        <v>115</v>
      </c>
      <c r="CU97" s="4">
        <v>115</v>
      </c>
      <c r="CV97" s="4">
        <v>115</v>
      </c>
      <c r="CW97" s="4">
        <v>115</v>
      </c>
      <c r="CX97" s="4">
        <v>100</v>
      </c>
      <c r="CY97" s="4">
        <v>100</v>
      </c>
      <c r="CZ97" s="4">
        <v>115</v>
      </c>
      <c r="DA97" s="4">
        <v>115</v>
      </c>
      <c r="DB97" s="4">
        <v>115</v>
      </c>
      <c r="DC97" s="4">
        <v>115</v>
      </c>
      <c r="DD97" s="4">
        <v>115</v>
      </c>
      <c r="DE97" s="4">
        <v>115</v>
      </c>
      <c r="DF97" s="4">
        <v>115</v>
      </c>
      <c r="DG97" s="4">
        <v>115</v>
      </c>
      <c r="DH97" s="4">
        <v>115</v>
      </c>
      <c r="DI97" s="4">
        <v>115</v>
      </c>
      <c r="DJ97" s="4">
        <v>115</v>
      </c>
      <c r="DK97" s="4">
        <v>115</v>
      </c>
      <c r="DL97" s="4">
        <v>115</v>
      </c>
      <c r="DM97" s="4">
        <v>115</v>
      </c>
      <c r="DN97" s="4">
        <v>115</v>
      </c>
      <c r="DO97" s="4">
        <v>115</v>
      </c>
      <c r="DP97" s="4">
        <v>115</v>
      </c>
      <c r="DQ97" s="4">
        <v>115</v>
      </c>
      <c r="DR97" s="4">
        <v>115</v>
      </c>
      <c r="DS97" s="4">
        <v>115</v>
      </c>
      <c r="DT97" s="4">
        <v>115</v>
      </c>
      <c r="DU97" s="4">
        <v>115</v>
      </c>
      <c r="DV97" s="4">
        <v>115</v>
      </c>
      <c r="DW97" s="4">
        <v>115</v>
      </c>
      <c r="DX97" s="4">
        <v>115</v>
      </c>
      <c r="DY97" s="4">
        <v>115</v>
      </c>
      <c r="DZ97" s="4">
        <v>115</v>
      </c>
      <c r="EA97" s="4">
        <v>100</v>
      </c>
      <c r="EB97" s="4">
        <v>100</v>
      </c>
      <c r="EC97" s="4">
        <v>115</v>
      </c>
      <c r="ED97" s="4">
        <v>115</v>
      </c>
      <c r="EE97" s="4">
        <v>115</v>
      </c>
      <c r="EF97" s="4">
        <v>115</v>
      </c>
      <c r="EG97" s="4">
        <v>115</v>
      </c>
      <c r="EH97" s="4">
        <v>115</v>
      </c>
      <c r="EI97" s="4">
        <v>115</v>
      </c>
      <c r="EJ97" s="4">
        <v>115</v>
      </c>
      <c r="EK97" s="4">
        <v>115</v>
      </c>
      <c r="EL97" s="4">
        <v>115</v>
      </c>
      <c r="EM97" s="4">
        <v>115</v>
      </c>
      <c r="EN97" s="4">
        <v>115</v>
      </c>
      <c r="EO97" s="4">
        <v>115</v>
      </c>
      <c r="EP97" s="4">
        <v>115</v>
      </c>
      <c r="EQ97" s="4">
        <v>115</v>
      </c>
      <c r="ER97" s="4">
        <v>115</v>
      </c>
      <c r="ES97" s="4">
        <v>115</v>
      </c>
      <c r="ET97" s="4">
        <v>115</v>
      </c>
      <c r="EU97" s="4">
        <v>115</v>
      </c>
      <c r="EV97" s="4">
        <v>115</v>
      </c>
      <c r="EW97" s="4">
        <v>115</v>
      </c>
      <c r="EX97" s="4">
        <v>115</v>
      </c>
      <c r="EY97" s="4">
        <v>115</v>
      </c>
      <c r="EZ97" s="4">
        <v>115</v>
      </c>
      <c r="FA97" s="4">
        <v>115</v>
      </c>
      <c r="FB97" s="4">
        <v>115</v>
      </c>
      <c r="FC97" s="4">
        <v>115</v>
      </c>
      <c r="FD97" s="4">
        <v>100</v>
      </c>
      <c r="FE97" s="4">
        <v>100</v>
      </c>
      <c r="FF97" s="4">
        <v>115</v>
      </c>
      <c r="FG97" s="4">
        <v>115</v>
      </c>
      <c r="FH97" s="4">
        <v>115</v>
      </c>
      <c r="FI97" s="4">
        <v>115</v>
      </c>
      <c r="FJ97" s="4">
        <v>115</v>
      </c>
      <c r="FK97" s="4">
        <v>115</v>
      </c>
      <c r="FL97" s="4">
        <v>115</v>
      </c>
      <c r="FM97" s="4">
        <v>115</v>
      </c>
      <c r="FN97" s="4">
        <v>115</v>
      </c>
      <c r="FO97" s="4">
        <v>115</v>
      </c>
      <c r="FP97" s="4">
        <v>115</v>
      </c>
      <c r="FQ97" s="4">
        <v>115</v>
      </c>
      <c r="FR97" s="4">
        <v>115</v>
      </c>
      <c r="FS97" s="4">
        <v>115</v>
      </c>
      <c r="FT97" s="4">
        <v>115</v>
      </c>
      <c r="FU97" s="4">
        <v>115</v>
      </c>
      <c r="FV97" s="4">
        <v>115</v>
      </c>
      <c r="FW97" s="4">
        <v>115</v>
      </c>
      <c r="FX97" s="4">
        <v>115</v>
      </c>
      <c r="FY97" s="4">
        <v>115</v>
      </c>
      <c r="FZ97" s="4">
        <v>115</v>
      </c>
      <c r="GA97" s="4">
        <v>115</v>
      </c>
      <c r="GB97" s="4">
        <v>115</v>
      </c>
      <c r="GC97" s="4">
        <v>115</v>
      </c>
      <c r="GD97" s="4">
        <v>115</v>
      </c>
      <c r="GE97" s="4">
        <v>115</v>
      </c>
      <c r="GF97" s="4">
        <v>115</v>
      </c>
      <c r="GG97" s="4">
        <v>100</v>
      </c>
      <c r="GH97" s="4">
        <v>100</v>
      </c>
      <c r="GJ97" s="4">
        <v>83</v>
      </c>
      <c r="GK97" s="4">
        <v>2</v>
      </c>
      <c r="GL97" s="4">
        <v>25</v>
      </c>
      <c r="GP97" s="4">
        <v>22</v>
      </c>
      <c r="GQ97" s="4">
        <v>15</v>
      </c>
      <c r="GT97" s="4">
        <v>-40</v>
      </c>
      <c r="GU97" s="4">
        <v>-4</v>
      </c>
      <c r="HH97" s="66"/>
      <c r="HI97" s="66"/>
      <c r="HJ97" s="66"/>
      <c r="HK97" s="66"/>
      <c r="IT97" s="4">
        <v>27</v>
      </c>
      <c r="IU97" s="4" t="s">
        <v>61</v>
      </c>
    </row>
    <row r="98" spans="1:255" x14ac:dyDescent="0.25">
      <c r="A98" s="4" t="s">
        <v>128</v>
      </c>
      <c r="E98" s="4">
        <f>SUM(B55+B57*2+B60+B66*2+E42+E50+E59*2+I45*3+J46+I55*2+L50+L51+L54*3+L55+L61*2+O48*3+O51+O53+O64*3+R43+R45+R52+R56+R63*2+X47*3)</f>
        <v>7</v>
      </c>
      <c r="I98" s="28" t="s">
        <v>129</v>
      </c>
      <c r="J98" s="29"/>
      <c r="K98" s="6"/>
      <c r="L98" s="6"/>
      <c r="M98" s="6"/>
      <c r="N98" s="2">
        <f t="shared" si="0"/>
        <v>9</v>
      </c>
      <c r="O98" s="2">
        <f>LOOKUP(O104,FE109:FE112,GE109:GE112)</f>
        <v>14</v>
      </c>
      <c r="P98" s="6"/>
      <c r="Q98" s="2">
        <f t="shared" si="11"/>
        <v>14</v>
      </c>
      <c r="R98" s="2"/>
      <c r="S98" s="2"/>
      <c r="T98" s="2"/>
      <c r="U98" s="2"/>
      <c r="V98" s="47"/>
      <c r="W98" s="47"/>
      <c r="X98" s="47"/>
      <c r="Y98" s="47"/>
      <c r="Z98" s="47"/>
      <c r="AA98" s="47"/>
      <c r="AB98" s="47"/>
      <c r="AC98" s="47"/>
      <c r="AD98" s="47"/>
      <c r="AE98" s="2"/>
      <c r="AF98" s="2">
        <f>Q98+GN83</f>
        <v>15</v>
      </c>
      <c r="AG98" s="2"/>
      <c r="AH98" s="2">
        <f t="shared" si="12"/>
        <v>0</v>
      </c>
      <c r="AI98" s="2">
        <f t="shared" si="13"/>
        <v>0</v>
      </c>
      <c r="AJ98" s="2">
        <f t="shared" si="14"/>
        <v>0</v>
      </c>
      <c r="AK98" s="2"/>
      <c r="AL98" s="2">
        <f>IF((AF98&gt;-1)*AND(AF98&lt;116),AF98,BE104)</f>
        <v>15</v>
      </c>
      <c r="AM98" s="2"/>
      <c r="AN98" s="2"/>
      <c r="AO98" s="2">
        <f>AL98+BE83</f>
        <v>15</v>
      </c>
      <c r="AP98" s="2"/>
      <c r="AQ98" s="2">
        <f>IF(AO98&lt;0,1,0)</f>
        <v>0</v>
      </c>
      <c r="AR98" s="2">
        <f>IF(AO98&gt;115,2,0)</f>
        <v>0</v>
      </c>
      <c r="AS98" s="2">
        <f>SUM(AQ98:AR98)</f>
        <v>0</v>
      </c>
      <c r="AT98" s="2">
        <f>IF((AO98&lt;116)*AND(AO98&gt;-1),AO98,AZ97)</f>
        <v>15</v>
      </c>
      <c r="AU98" s="54">
        <f t="shared" si="15"/>
        <v>15</v>
      </c>
      <c r="AV98" s="63" t="str">
        <f>LOOKUP(AU98,IT70:IU185)</f>
        <v>Indicador nulo</v>
      </c>
      <c r="AZ98" s="4" t="e">
        <f>LOOKUP(AS99,AZ89:BA90)</f>
        <v>#N/A</v>
      </c>
      <c r="BE98" s="4" t="e">
        <f>LOOKUP(AJ92,BE89:BF90)</f>
        <v>#N/A</v>
      </c>
      <c r="BT98" s="4" t="e">
        <f>LOOKUP(T84,BT85:BU86)</f>
        <v>#N/A</v>
      </c>
      <c r="BV98" s="4">
        <v>82</v>
      </c>
      <c r="BW98" s="4">
        <v>115</v>
      </c>
      <c r="BX98" s="4">
        <v>115</v>
      </c>
      <c r="BY98" s="4">
        <v>115</v>
      </c>
      <c r="BZ98" s="4">
        <v>115</v>
      </c>
      <c r="CA98" s="4">
        <v>115</v>
      </c>
      <c r="CB98" s="4">
        <v>115</v>
      </c>
      <c r="CC98" s="4">
        <v>115</v>
      </c>
      <c r="CD98" s="4">
        <v>115</v>
      </c>
      <c r="CE98" s="4">
        <v>115</v>
      </c>
      <c r="CF98" s="4">
        <v>115</v>
      </c>
      <c r="CG98" s="4">
        <v>115</v>
      </c>
      <c r="CH98" s="4">
        <v>115</v>
      </c>
      <c r="CI98" s="4">
        <v>115</v>
      </c>
      <c r="CJ98" s="4">
        <v>115</v>
      </c>
      <c r="CK98" s="4">
        <v>115</v>
      </c>
      <c r="CL98" s="4">
        <v>115</v>
      </c>
      <c r="CM98" s="4">
        <v>115</v>
      </c>
      <c r="CN98" s="4">
        <v>115</v>
      </c>
      <c r="CO98" s="4">
        <v>115</v>
      </c>
      <c r="CP98" s="4">
        <v>115</v>
      </c>
      <c r="CQ98" s="4">
        <v>115</v>
      </c>
      <c r="CR98" s="4">
        <v>115</v>
      </c>
      <c r="CS98" s="4">
        <v>115</v>
      </c>
      <c r="CT98" s="4">
        <v>115</v>
      </c>
      <c r="CU98" s="4">
        <v>115</v>
      </c>
      <c r="CV98" s="4">
        <v>115</v>
      </c>
      <c r="CW98" s="4">
        <v>115</v>
      </c>
      <c r="CX98" s="4">
        <v>100</v>
      </c>
      <c r="CY98" s="4">
        <v>100</v>
      </c>
      <c r="CZ98" s="4">
        <v>115</v>
      </c>
      <c r="DA98" s="4">
        <v>115</v>
      </c>
      <c r="DB98" s="4">
        <v>115</v>
      </c>
      <c r="DC98" s="4">
        <v>115</v>
      </c>
      <c r="DD98" s="4">
        <v>115</v>
      </c>
      <c r="DE98" s="4">
        <v>115</v>
      </c>
      <c r="DF98" s="4">
        <v>115</v>
      </c>
      <c r="DG98" s="4">
        <v>115</v>
      </c>
      <c r="DH98" s="4">
        <v>115</v>
      </c>
      <c r="DI98" s="4">
        <v>115</v>
      </c>
      <c r="DJ98" s="4">
        <v>115</v>
      </c>
      <c r="DK98" s="4">
        <v>115</v>
      </c>
      <c r="DL98" s="4">
        <v>115</v>
      </c>
      <c r="DM98" s="4">
        <v>115</v>
      </c>
      <c r="DN98" s="4">
        <v>115</v>
      </c>
      <c r="DO98" s="4">
        <v>115</v>
      </c>
      <c r="DP98" s="4">
        <v>115</v>
      </c>
      <c r="DQ98" s="4">
        <v>115</v>
      </c>
      <c r="DR98" s="4">
        <v>115</v>
      </c>
      <c r="DS98" s="4">
        <v>115</v>
      </c>
      <c r="DT98" s="4">
        <v>115</v>
      </c>
      <c r="DU98" s="4">
        <v>115</v>
      </c>
      <c r="DV98" s="4">
        <v>115</v>
      </c>
      <c r="DW98" s="4">
        <v>115</v>
      </c>
      <c r="DX98" s="4">
        <v>115</v>
      </c>
      <c r="DY98" s="4">
        <v>115</v>
      </c>
      <c r="DZ98" s="4">
        <v>115</v>
      </c>
      <c r="EA98" s="4">
        <v>100</v>
      </c>
      <c r="EB98" s="4">
        <v>100</v>
      </c>
      <c r="EC98" s="4">
        <v>115</v>
      </c>
      <c r="ED98" s="4">
        <v>115</v>
      </c>
      <c r="EE98" s="4">
        <v>115</v>
      </c>
      <c r="EF98" s="4">
        <v>115</v>
      </c>
      <c r="EG98" s="4">
        <v>115</v>
      </c>
      <c r="EH98" s="4">
        <v>115</v>
      </c>
      <c r="EI98" s="4">
        <v>115</v>
      </c>
      <c r="EJ98" s="4">
        <v>115</v>
      </c>
      <c r="EK98" s="4">
        <v>115</v>
      </c>
      <c r="EL98" s="4">
        <v>115</v>
      </c>
      <c r="EM98" s="4">
        <v>115</v>
      </c>
      <c r="EN98" s="4">
        <v>115</v>
      </c>
      <c r="EO98" s="4">
        <v>115</v>
      </c>
      <c r="EP98" s="4">
        <v>115</v>
      </c>
      <c r="EQ98" s="4">
        <v>115</v>
      </c>
      <c r="ER98" s="4">
        <v>115</v>
      </c>
      <c r="ES98" s="4">
        <v>115</v>
      </c>
      <c r="ET98" s="4">
        <v>115</v>
      </c>
      <c r="EU98" s="4">
        <v>115</v>
      </c>
      <c r="EV98" s="4">
        <v>115</v>
      </c>
      <c r="EW98" s="4">
        <v>115</v>
      </c>
      <c r="EX98" s="4">
        <v>115</v>
      </c>
      <c r="EY98" s="4">
        <v>115</v>
      </c>
      <c r="EZ98" s="4">
        <v>115</v>
      </c>
      <c r="FA98" s="4">
        <v>115</v>
      </c>
      <c r="FB98" s="4">
        <v>115</v>
      </c>
      <c r="FC98" s="4">
        <v>115</v>
      </c>
      <c r="FD98" s="4">
        <v>100</v>
      </c>
      <c r="FE98" s="4">
        <v>100</v>
      </c>
      <c r="FF98" s="4">
        <v>115</v>
      </c>
      <c r="FG98" s="4">
        <v>115</v>
      </c>
      <c r="FH98" s="4">
        <v>115</v>
      </c>
      <c r="FI98" s="4">
        <v>115</v>
      </c>
      <c r="FJ98" s="4">
        <v>115</v>
      </c>
      <c r="FK98" s="4">
        <v>115</v>
      </c>
      <c r="FL98" s="4">
        <v>115</v>
      </c>
      <c r="FM98" s="4">
        <v>115</v>
      </c>
      <c r="FN98" s="4">
        <v>115</v>
      </c>
      <c r="FO98" s="4">
        <v>115</v>
      </c>
      <c r="FP98" s="4">
        <v>115</v>
      </c>
      <c r="FQ98" s="4">
        <v>115</v>
      </c>
      <c r="FR98" s="4">
        <v>115</v>
      </c>
      <c r="FS98" s="4">
        <v>115</v>
      </c>
      <c r="FT98" s="4">
        <v>115</v>
      </c>
      <c r="FU98" s="4">
        <v>115</v>
      </c>
      <c r="FV98" s="4">
        <v>115</v>
      </c>
      <c r="FW98" s="4">
        <v>115</v>
      </c>
      <c r="FX98" s="4">
        <v>115</v>
      </c>
      <c r="FY98" s="4">
        <v>115</v>
      </c>
      <c r="FZ98" s="4">
        <v>115</v>
      </c>
      <c r="GA98" s="4">
        <v>115</v>
      </c>
      <c r="GB98" s="4">
        <v>115</v>
      </c>
      <c r="GC98" s="4">
        <v>115</v>
      </c>
      <c r="GD98" s="4">
        <v>115</v>
      </c>
      <c r="GE98" s="4">
        <v>115</v>
      </c>
      <c r="GF98" s="4">
        <v>115</v>
      </c>
      <c r="GG98" s="4">
        <v>100</v>
      </c>
      <c r="GH98" s="4">
        <v>100</v>
      </c>
      <c r="GJ98" s="4">
        <v>84</v>
      </c>
      <c r="GK98" s="4">
        <v>2</v>
      </c>
      <c r="GL98" s="4">
        <v>25</v>
      </c>
      <c r="GP98" s="4">
        <v>23</v>
      </c>
      <c r="GQ98" s="4">
        <v>15</v>
      </c>
      <c r="GT98" s="4">
        <v>-39</v>
      </c>
      <c r="GU98" s="4">
        <v>-4</v>
      </c>
      <c r="HH98" s="66"/>
      <c r="HI98" s="66"/>
      <c r="HJ98" s="66"/>
      <c r="HK98" s="66"/>
      <c r="IT98" s="4">
        <v>28</v>
      </c>
      <c r="IU98" s="4" t="s">
        <v>61</v>
      </c>
    </row>
    <row r="99" spans="1:255" x14ac:dyDescent="0.25">
      <c r="I99" s="34" t="s">
        <v>130</v>
      </c>
      <c r="J99" s="39"/>
      <c r="K99" s="40"/>
      <c r="L99" s="40"/>
      <c r="M99" s="40"/>
      <c r="N99" s="41">
        <f t="shared" si="0"/>
        <v>7</v>
      </c>
      <c r="O99" s="41">
        <f>LOOKUP(O104,FE109:FE112,GF109:GF112)</f>
        <v>42</v>
      </c>
      <c r="P99" s="40"/>
      <c r="Q99" s="41">
        <f t="shared" si="11"/>
        <v>42</v>
      </c>
      <c r="R99" s="41"/>
      <c r="S99" s="41"/>
      <c r="T99" s="41"/>
      <c r="U99" s="41"/>
      <c r="V99" s="49"/>
      <c r="W99" s="49"/>
      <c r="X99" s="49"/>
      <c r="Y99" s="49"/>
      <c r="Z99" s="49"/>
      <c r="AA99" s="49"/>
      <c r="AB99" s="49"/>
      <c r="AC99" s="49"/>
      <c r="AD99" s="49"/>
      <c r="AE99" s="41"/>
      <c r="AF99" s="41">
        <f>Q99+GN83</f>
        <v>43</v>
      </c>
      <c r="AG99" s="41"/>
      <c r="AH99" s="41">
        <f t="shared" si="12"/>
        <v>0</v>
      </c>
      <c r="AI99" s="41">
        <f t="shared" si="13"/>
        <v>0</v>
      </c>
      <c r="AJ99" s="41">
        <f t="shared" si="14"/>
        <v>0</v>
      </c>
      <c r="AK99" s="41"/>
      <c r="AL99" s="41">
        <f>IF((AF99&gt;-1)*AND(AF99&lt;116),AF99,BE105)</f>
        <v>43</v>
      </c>
      <c r="AM99" s="41"/>
      <c r="AN99" s="41"/>
      <c r="AO99" s="41">
        <f>AL99+BE83</f>
        <v>43</v>
      </c>
      <c r="AP99" s="41"/>
      <c r="AQ99" s="41">
        <f>IF(AO99&lt;0,1,0)</f>
        <v>0</v>
      </c>
      <c r="AR99" s="41">
        <f>IF(AO99&gt;115,2,0)</f>
        <v>0</v>
      </c>
      <c r="AS99" s="41">
        <f>SUM(AQ99:AR99)</f>
        <v>0</v>
      </c>
      <c r="AT99" s="41">
        <f>IF((AO99&lt;116)*AND(AO99&gt;-1),AO99,AZ98)</f>
        <v>43</v>
      </c>
      <c r="AU99" s="62">
        <f t="shared" si="15"/>
        <v>43</v>
      </c>
      <c r="AV99" s="64" t="str">
        <f>LOOKUP(AU99,IT70:IU185)</f>
        <v>Indicador nulo</v>
      </c>
      <c r="BE99" s="4" t="e">
        <f>LOOKUP(AJ93,BE89:BF90)</f>
        <v>#N/A</v>
      </c>
      <c r="BN99" s="4" t="e">
        <f>LOOKUP(AA83,BN88:BO89)</f>
        <v>#N/A</v>
      </c>
      <c r="BV99" s="4">
        <v>83</v>
      </c>
      <c r="BW99" s="4">
        <v>115</v>
      </c>
      <c r="BX99" s="4">
        <v>115</v>
      </c>
      <c r="BY99" s="4">
        <v>115</v>
      </c>
      <c r="BZ99" s="4">
        <v>115</v>
      </c>
      <c r="CA99" s="4">
        <v>115</v>
      </c>
      <c r="CB99" s="4">
        <v>115</v>
      </c>
      <c r="CC99" s="4">
        <v>115</v>
      </c>
      <c r="CD99" s="4">
        <v>115</v>
      </c>
      <c r="CE99" s="4">
        <v>115</v>
      </c>
      <c r="CF99" s="4">
        <v>115</v>
      </c>
      <c r="CG99" s="4">
        <v>115</v>
      </c>
      <c r="CH99" s="4">
        <v>115</v>
      </c>
      <c r="CI99" s="4">
        <v>115</v>
      </c>
      <c r="CJ99" s="4">
        <v>115</v>
      </c>
      <c r="CK99" s="4">
        <v>115</v>
      </c>
      <c r="CL99" s="4">
        <v>115</v>
      </c>
      <c r="CM99" s="4">
        <v>115</v>
      </c>
      <c r="CN99" s="4">
        <v>115</v>
      </c>
      <c r="CO99" s="4">
        <v>115</v>
      </c>
      <c r="CP99" s="4">
        <v>115</v>
      </c>
      <c r="CQ99" s="4">
        <v>115</v>
      </c>
      <c r="CR99" s="4">
        <v>115</v>
      </c>
      <c r="CS99" s="4">
        <v>115</v>
      </c>
      <c r="CT99" s="4">
        <v>115</v>
      </c>
      <c r="CU99" s="4">
        <v>115</v>
      </c>
      <c r="CV99" s="4">
        <v>115</v>
      </c>
      <c r="CW99" s="4">
        <v>115</v>
      </c>
      <c r="CX99" s="4">
        <v>100</v>
      </c>
      <c r="CY99" s="4">
        <v>100</v>
      </c>
      <c r="CZ99" s="4">
        <v>115</v>
      </c>
      <c r="DA99" s="4">
        <v>115</v>
      </c>
      <c r="DB99" s="4">
        <v>115</v>
      </c>
      <c r="DC99" s="4">
        <v>115</v>
      </c>
      <c r="DD99" s="4">
        <v>115</v>
      </c>
      <c r="DE99" s="4">
        <v>115</v>
      </c>
      <c r="DF99" s="4">
        <v>115</v>
      </c>
      <c r="DG99" s="4">
        <v>115</v>
      </c>
      <c r="DH99" s="4">
        <v>115</v>
      </c>
      <c r="DI99" s="4">
        <v>115</v>
      </c>
      <c r="DJ99" s="4">
        <v>115</v>
      </c>
      <c r="DK99" s="4">
        <v>115</v>
      </c>
      <c r="DL99" s="4">
        <v>115</v>
      </c>
      <c r="DM99" s="4">
        <v>115</v>
      </c>
      <c r="DN99" s="4">
        <v>115</v>
      </c>
      <c r="DO99" s="4">
        <v>115</v>
      </c>
      <c r="DP99" s="4">
        <v>115</v>
      </c>
      <c r="DQ99" s="4">
        <v>115</v>
      </c>
      <c r="DR99" s="4">
        <v>115</v>
      </c>
      <c r="DS99" s="4">
        <v>115</v>
      </c>
      <c r="DT99" s="4">
        <v>115</v>
      </c>
      <c r="DU99" s="4">
        <v>115</v>
      </c>
      <c r="DV99" s="4">
        <v>115</v>
      </c>
      <c r="DW99" s="4">
        <v>115</v>
      </c>
      <c r="DX99" s="4">
        <v>115</v>
      </c>
      <c r="DY99" s="4">
        <v>115</v>
      </c>
      <c r="DZ99" s="4">
        <v>115</v>
      </c>
      <c r="EA99" s="4">
        <v>100</v>
      </c>
      <c r="EB99" s="4">
        <v>100</v>
      </c>
      <c r="EC99" s="4">
        <v>115</v>
      </c>
      <c r="ED99" s="4">
        <v>115</v>
      </c>
      <c r="EE99" s="4">
        <v>115</v>
      </c>
      <c r="EF99" s="4">
        <v>115</v>
      </c>
      <c r="EG99" s="4">
        <v>115</v>
      </c>
      <c r="EH99" s="4">
        <v>115</v>
      </c>
      <c r="EI99" s="4">
        <v>115</v>
      </c>
      <c r="EJ99" s="4">
        <v>115</v>
      </c>
      <c r="EK99" s="4">
        <v>115</v>
      </c>
      <c r="EL99" s="4">
        <v>115</v>
      </c>
      <c r="EM99" s="4">
        <v>115</v>
      </c>
      <c r="EN99" s="4">
        <v>115</v>
      </c>
      <c r="EO99" s="4">
        <v>115</v>
      </c>
      <c r="EP99" s="4">
        <v>115</v>
      </c>
      <c r="EQ99" s="4">
        <v>115</v>
      </c>
      <c r="ER99" s="4">
        <v>115</v>
      </c>
      <c r="ES99" s="4">
        <v>115</v>
      </c>
      <c r="ET99" s="4">
        <v>115</v>
      </c>
      <c r="EU99" s="4">
        <v>115</v>
      </c>
      <c r="EV99" s="4">
        <v>115</v>
      </c>
      <c r="EW99" s="4">
        <v>115</v>
      </c>
      <c r="EX99" s="4">
        <v>115</v>
      </c>
      <c r="EY99" s="4">
        <v>115</v>
      </c>
      <c r="EZ99" s="4">
        <v>115</v>
      </c>
      <c r="FA99" s="4">
        <v>115</v>
      </c>
      <c r="FB99" s="4">
        <v>115</v>
      </c>
      <c r="FC99" s="4">
        <v>115</v>
      </c>
      <c r="FD99" s="4">
        <v>100</v>
      </c>
      <c r="FE99" s="4">
        <v>100</v>
      </c>
      <c r="FF99" s="4">
        <v>115</v>
      </c>
      <c r="FG99" s="4">
        <v>115</v>
      </c>
      <c r="FH99" s="4">
        <v>115</v>
      </c>
      <c r="FI99" s="4">
        <v>115</v>
      </c>
      <c r="FJ99" s="4">
        <v>115</v>
      </c>
      <c r="FK99" s="4">
        <v>115</v>
      </c>
      <c r="FL99" s="4">
        <v>115</v>
      </c>
      <c r="FM99" s="4">
        <v>115</v>
      </c>
      <c r="FN99" s="4">
        <v>115</v>
      </c>
      <c r="FO99" s="4">
        <v>115</v>
      </c>
      <c r="FP99" s="4">
        <v>115</v>
      </c>
      <c r="FQ99" s="4">
        <v>115</v>
      </c>
      <c r="FR99" s="4">
        <v>115</v>
      </c>
      <c r="FS99" s="4">
        <v>115</v>
      </c>
      <c r="FT99" s="4">
        <v>115</v>
      </c>
      <c r="FU99" s="4">
        <v>115</v>
      </c>
      <c r="FV99" s="4">
        <v>115</v>
      </c>
      <c r="FW99" s="4">
        <v>115</v>
      </c>
      <c r="FX99" s="4">
        <v>115</v>
      </c>
      <c r="FY99" s="4">
        <v>115</v>
      </c>
      <c r="FZ99" s="4">
        <v>115</v>
      </c>
      <c r="GA99" s="4">
        <v>115</v>
      </c>
      <c r="GB99" s="4">
        <v>115</v>
      </c>
      <c r="GC99" s="4">
        <v>115</v>
      </c>
      <c r="GD99" s="4">
        <v>115</v>
      </c>
      <c r="GE99" s="4">
        <v>115</v>
      </c>
      <c r="GF99" s="4">
        <v>115</v>
      </c>
      <c r="GG99" s="4">
        <v>100</v>
      </c>
      <c r="GH99" s="4">
        <v>100</v>
      </c>
      <c r="GJ99" s="4">
        <v>85</v>
      </c>
      <c r="GK99" s="4">
        <v>2</v>
      </c>
      <c r="GL99" s="4">
        <v>25</v>
      </c>
      <c r="GP99" s="4">
        <v>24</v>
      </c>
      <c r="GQ99" s="4">
        <v>15</v>
      </c>
      <c r="GT99" s="4">
        <v>-38</v>
      </c>
      <c r="GU99" s="4">
        <v>-4</v>
      </c>
      <c r="HH99" s="66"/>
      <c r="HI99" s="66"/>
      <c r="HJ99" s="66"/>
      <c r="HK99" s="66"/>
      <c r="IT99" s="4">
        <v>29</v>
      </c>
      <c r="IU99" s="4" t="s">
        <v>61</v>
      </c>
    </row>
    <row r="100" spans="1:255" x14ac:dyDescent="0.25">
      <c r="I100" s="42" t="str">
        <f>O101</f>
        <v>PROTOCOLO VALIDO</v>
      </c>
      <c r="BN100" s="4" t="e">
        <f>LOOKUP(AA84,BN88:BO89)</f>
        <v>#N/A</v>
      </c>
      <c r="BV100" s="4">
        <v>84</v>
      </c>
      <c r="BW100" s="4">
        <v>115</v>
      </c>
      <c r="BX100" s="4">
        <v>115</v>
      </c>
      <c r="BY100" s="4">
        <v>115</v>
      </c>
      <c r="BZ100" s="4">
        <v>115</v>
      </c>
      <c r="CA100" s="4">
        <v>115</v>
      </c>
      <c r="CB100" s="4">
        <v>115</v>
      </c>
      <c r="CC100" s="4">
        <v>115</v>
      </c>
      <c r="CD100" s="4">
        <v>115</v>
      </c>
      <c r="CE100" s="4">
        <v>115</v>
      </c>
      <c r="CF100" s="4">
        <v>115</v>
      </c>
      <c r="CG100" s="4">
        <v>115</v>
      </c>
      <c r="CH100" s="4">
        <v>115</v>
      </c>
      <c r="CI100" s="4">
        <v>115</v>
      </c>
      <c r="CJ100" s="4">
        <v>115</v>
      </c>
      <c r="CK100" s="4">
        <v>115</v>
      </c>
      <c r="CL100" s="4">
        <v>115</v>
      </c>
      <c r="CM100" s="4">
        <v>115</v>
      </c>
      <c r="CN100" s="4">
        <v>115</v>
      </c>
      <c r="CO100" s="4">
        <v>115</v>
      </c>
      <c r="CP100" s="4">
        <v>115</v>
      </c>
      <c r="CQ100" s="4">
        <v>115</v>
      </c>
      <c r="CR100" s="4">
        <v>115</v>
      </c>
      <c r="CS100" s="4">
        <v>115</v>
      </c>
      <c r="CT100" s="4">
        <v>115</v>
      </c>
      <c r="CU100" s="4">
        <v>115</v>
      </c>
      <c r="CV100" s="4">
        <v>115</v>
      </c>
      <c r="CW100" s="4">
        <v>115</v>
      </c>
      <c r="CX100" s="4">
        <v>100</v>
      </c>
      <c r="CY100" s="4">
        <v>100</v>
      </c>
      <c r="CZ100" s="4">
        <v>115</v>
      </c>
      <c r="DA100" s="4">
        <v>115</v>
      </c>
      <c r="DB100" s="4">
        <v>115</v>
      </c>
      <c r="DC100" s="4">
        <v>115</v>
      </c>
      <c r="DD100" s="4">
        <v>115</v>
      </c>
      <c r="DE100" s="4">
        <v>115</v>
      </c>
      <c r="DF100" s="4">
        <v>115</v>
      </c>
      <c r="DG100" s="4">
        <v>115</v>
      </c>
      <c r="DH100" s="4">
        <v>115</v>
      </c>
      <c r="DI100" s="4">
        <v>115</v>
      </c>
      <c r="DJ100" s="4">
        <v>115</v>
      </c>
      <c r="DK100" s="4">
        <v>115</v>
      </c>
      <c r="DL100" s="4">
        <v>115</v>
      </c>
      <c r="DM100" s="4">
        <v>115</v>
      </c>
      <c r="DN100" s="4">
        <v>115</v>
      </c>
      <c r="DO100" s="4">
        <v>115</v>
      </c>
      <c r="DP100" s="4">
        <v>115</v>
      </c>
      <c r="DQ100" s="4">
        <v>115</v>
      </c>
      <c r="DR100" s="4">
        <v>115</v>
      </c>
      <c r="DS100" s="4">
        <v>115</v>
      </c>
      <c r="DT100" s="4">
        <v>115</v>
      </c>
      <c r="DU100" s="4">
        <v>115</v>
      </c>
      <c r="DV100" s="4">
        <v>115</v>
      </c>
      <c r="DW100" s="4">
        <v>115</v>
      </c>
      <c r="DX100" s="4">
        <v>115</v>
      </c>
      <c r="DY100" s="4">
        <v>115</v>
      </c>
      <c r="DZ100" s="4">
        <v>115</v>
      </c>
      <c r="EA100" s="4">
        <v>100</v>
      </c>
      <c r="EB100" s="4">
        <v>100</v>
      </c>
      <c r="EC100" s="4">
        <v>115</v>
      </c>
      <c r="ED100" s="4">
        <v>115</v>
      </c>
      <c r="EE100" s="4">
        <v>115</v>
      </c>
      <c r="EF100" s="4">
        <v>115</v>
      </c>
      <c r="EG100" s="4">
        <v>115</v>
      </c>
      <c r="EH100" s="4">
        <v>115</v>
      </c>
      <c r="EI100" s="4">
        <v>115</v>
      </c>
      <c r="EJ100" s="4">
        <v>115</v>
      </c>
      <c r="EK100" s="4">
        <v>115</v>
      </c>
      <c r="EL100" s="4">
        <v>115</v>
      </c>
      <c r="EM100" s="4">
        <v>115</v>
      </c>
      <c r="EN100" s="4">
        <v>115</v>
      </c>
      <c r="EO100" s="4">
        <v>115</v>
      </c>
      <c r="EP100" s="4">
        <v>115</v>
      </c>
      <c r="EQ100" s="4">
        <v>115</v>
      </c>
      <c r="ER100" s="4">
        <v>115</v>
      </c>
      <c r="ES100" s="4">
        <v>115</v>
      </c>
      <c r="ET100" s="4">
        <v>115</v>
      </c>
      <c r="EU100" s="4">
        <v>115</v>
      </c>
      <c r="EV100" s="4">
        <v>115</v>
      </c>
      <c r="EW100" s="4">
        <v>115</v>
      </c>
      <c r="EX100" s="4">
        <v>115</v>
      </c>
      <c r="EY100" s="4">
        <v>115</v>
      </c>
      <c r="EZ100" s="4">
        <v>115</v>
      </c>
      <c r="FA100" s="4">
        <v>115</v>
      </c>
      <c r="FB100" s="4">
        <v>115</v>
      </c>
      <c r="FC100" s="4">
        <v>115</v>
      </c>
      <c r="FD100" s="4">
        <v>100</v>
      </c>
      <c r="FE100" s="4">
        <v>100</v>
      </c>
      <c r="FF100" s="4">
        <v>115</v>
      </c>
      <c r="FG100" s="4">
        <v>115</v>
      </c>
      <c r="FH100" s="4">
        <v>115</v>
      </c>
      <c r="FI100" s="4">
        <v>115</v>
      </c>
      <c r="FJ100" s="4">
        <v>115</v>
      </c>
      <c r="FK100" s="4">
        <v>115</v>
      </c>
      <c r="FL100" s="4">
        <v>115</v>
      </c>
      <c r="FM100" s="4">
        <v>115</v>
      </c>
      <c r="FN100" s="4">
        <v>115</v>
      </c>
      <c r="FO100" s="4">
        <v>115</v>
      </c>
      <c r="FP100" s="4">
        <v>115</v>
      </c>
      <c r="FQ100" s="4">
        <v>115</v>
      </c>
      <c r="FR100" s="4">
        <v>115</v>
      </c>
      <c r="FS100" s="4">
        <v>115</v>
      </c>
      <c r="FT100" s="4">
        <v>115</v>
      </c>
      <c r="FU100" s="4">
        <v>115</v>
      </c>
      <c r="FV100" s="4">
        <v>115</v>
      </c>
      <c r="FW100" s="4">
        <v>115</v>
      </c>
      <c r="FX100" s="4">
        <v>115</v>
      </c>
      <c r="FY100" s="4">
        <v>115</v>
      </c>
      <c r="FZ100" s="4">
        <v>115</v>
      </c>
      <c r="GA100" s="4">
        <v>115</v>
      </c>
      <c r="GB100" s="4">
        <v>115</v>
      </c>
      <c r="GC100" s="4">
        <v>115</v>
      </c>
      <c r="GD100" s="4">
        <v>115</v>
      </c>
      <c r="GE100" s="4">
        <v>115</v>
      </c>
      <c r="GF100" s="4">
        <v>115</v>
      </c>
      <c r="GG100" s="4">
        <v>100</v>
      </c>
      <c r="GH100" s="4">
        <v>100</v>
      </c>
      <c r="GJ100" s="4">
        <v>86</v>
      </c>
      <c r="GK100" s="4">
        <v>2</v>
      </c>
      <c r="GL100" s="4">
        <v>25</v>
      </c>
      <c r="GP100" s="4">
        <v>25</v>
      </c>
      <c r="GQ100" s="4">
        <v>15</v>
      </c>
      <c r="GT100" s="4">
        <v>-37</v>
      </c>
      <c r="GU100" s="4">
        <v>-4</v>
      </c>
      <c r="IT100" s="4">
        <v>30</v>
      </c>
      <c r="IU100" s="4" t="s">
        <v>61</v>
      </c>
    </row>
    <row r="101" spans="1:255" hidden="1" x14ac:dyDescent="0.25">
      <c r="I101" s="4">
        <f>IF('DATOS Y RESPUESTAS'!B6="MASCULINO",1,2)</f>
        <v>2</v>
      </c>
      <c r="N101" s="3">
        <f>IF((I101=1)*AND(I102=2),2,0)</f>
        <v>0</v>
      </c>
      <c r="O101" s="4" t="str">
        <f>IF(L68&gt;0,"PROTOCOLO INVALIDO","PROTOCOLO VALIDO")</f>
        <v>PROTOCOLO VALIDO</v>
      </c>
      <c r="BV101" s="4">
        <v>85</v>
      </c>
      <c r="BW101" s="4">
        <v>115</v>
      </c>
      <c r="BX101" s="4">
        <v>115</v>
      </c>
      <c r="BY101" s="4">
        <v>115</v>
      </c>
      <c r="BZ101" s="4">
        <v>115</v>
      </c>
      <c r="CA101" s="4">
        <v>115</v>
      </c>
      <c r="CB101" s="4">
        <v>115</v>
      </c>
      <c r="CC101" s="4">
        <v>115</v>
      </c>
      <c r="CD101" s="4">
        <v>115</v>
      </c>
      <c r="CE101" s="4">
        <v>115</v>
      </c>
      <c r="CF101" s="4">
        <v>115</v>
      </c>
      <c r="CG101" s="4">
        <v>115</v>
      </c>
      <c r="CH101" s="4">
        <v>115</v>
      </c>
      <c r="CI101" s="4">
        <v>115</v>
      </c>
      <c r="CJ101" s="4">
        <v>115</v>
      </c>
      <c r="CK101" s="4">
        <v>115</v>
      </c>
      <c r="CL101" s="4">
        <v>115</v>
      </c>
      <c r="CM101" s="4">
        <v>115</v>
      </c>
      <c r="CN101" s="4">
        <v>115</v>
      </c>
      <c r="CO101" s="4">
        <v>115</v>
      </c>
      <c r="CP101" s="4">
        <v>115</v>
      </c>
      <c r="CQ101" s="4">
        <v>115</v>
      </c>
      <c r="CR101" s="4">
        <v>115</v>
      </c>
      <c r="CS101" s="4">
        <v>115</v>
      </c>
      <c r="CT101" s="4">
        <v>115</v>
      </c>
      <c r="CU101" s="4">
        <v>115</v>
      </c>
      <c r="CV101" s="4">
        <v>115</v>
      </c>
      <c r="CW101" s="4">
        <v>115</v>
      </c>
      <c r="CX101" s="4">
        <v>100</v>
      </c>
      <c r="CY101" s="4">
        <v>100</v>
      </c>
      <c r="CZ101" s="4">
        <v>115</v>
      </c>
      <c r="DA101" s="4">
        <v>115</v>
      </c>
      <c r="DB101" s="4">
        <v>115</v>
      </c>
      <c r="DC101" s="4">
        <v>115</v>
      </c>
      <c r="DD101" s="4">
        <v>115</v>
      </c>
      <c r="DE101" s="4">
        <v>115</v>
      </c>
      <c r="DF101" s="4">
        <v>115</v>
      </c>
      <c r="DG101" s="4">
        <v>115</v>
      </c>
      <c r="DH101" s="4">
        <v>115</v>
      </c>
      <c r="DI101" s="4">
        <v>115</v>
      </c>
      <c r="DJ101" s="4">
        <v>115</v>
      </c>
      <c r="DK101" s="4">
        <v>115</v>
      </c>
      <c r="DL101" s="4">
        <v>115</v>
      </c>
      <c r="DM101" s="4">
        <v>115</v>
      </c>
      <c r="DN101" s="4">
        <v>115</v>
      </c>
      <c r="DO101" s="4">
        <v>115</v>
      </c>
      <c r="DP101" s="4">
        <v>115</v>
      </c>
      <c r="DQ101" s="4">
        <v>115</v>
      </c>
      <c r="DR101" s="4">
        <v>115</v>
      </c>
      <c r="DS101" s="4">
        <v>115</v>
      </c>
      <c r="DT101" s="4">
        <v>115</v>
      </c>
      <c r="DU101" s="4">
        <v>115</v>
      </c>
      <c r="DV101" s="4">
        <v>115</v>
      </c>
      <c r="DW101" s="4">
        <v>115</v>
      </c>
      <c r="DX101" s="4">
        <v>115</v>
      </c>
      <c r="DY101" s="4">
        <v>115</v>
      </c>
      <c r="DZ101" s="4">
        <v>115</v>
      </c>
      <c r="EA101" s="4">
        <v>100</v>
      </c>
      <c r="EB101" s="4">
        <v>100</v>
      </c>
      <c r="EC101" s="4">
        <v>115</v>
      </c>
      <c r="ED101" s="4">
        <v>115</v>
      </c>
      <c r="EE101" s="4">
        <v>115</v>
      </c>
      <c r="EF101" s="4">
        <v>115</v>
      </c>
      <c r="EG101" s="4">
        <v>115</v>
      </c>
      <c r="EH101" s="4">
        <v>115</v>
      </c>
      <c r="EI101" s="4">
        <v>115</v>
      </c>
      <c r="EJ101" s="4">
        <v>115</v>
      </c>
      <c r="EK101" s="4">
        <v>115</v>
      </c>
      <c r="EL101" s="4">
        <v>115</v>
      </c>
      <c r="EM101" s="4">
        <v>115</v>
      </c>
      <c r="EN101" s="4">
        <v>115</v>
      </c>
      <c r="EO101" s="4">
        <v>115</v>
      </c>
      <c r="EP101" s="4">
        <v>115</v>
      </c>
      <c r="EQ101" s="4">
        <v>115</v>
      </c>
      <c r="ER101" s="4">
        <v>115</v>
      </c>
      <c r="ES101" s="4">
        <v>115</v>
      </c>
      <c r="ET101" s="4">
        <v>115</v>
      </c>
      <c r="EU101" s="4">
        <v>115</v>
      </c>
      <c r="EV101" s="4">
        <v>115</v>
      </c>
      <c r="EW101" s="4">
        <v>115</v>
      </c>
      <c r="EX101" s="4">
        <v>115</v>
      </c>
      <c r="EY101" s="4">
        <v>115</v>
      </c>
      <c r="EZ101" s="4">
        <v>115</v>
      </c>
      <c r="FA101" s="4">
        <v>115</v>
      </c>
      <c r="FB101" s="4">
        <v>115</v>
      </c>
      <c r="FC101" s="4">
        <v>115</v>
      </c>
      <c r="FD101" s="4">
        <v>100</v>
      </c>
      <c r="FE101" s="4">
        <v>100</v>
      </c>
      <c r="FF101" s="4">
        <v>115</v>
      </c>
      <c r="FG101" s="4">
        <v>115</v>
      </c>
      <c r="FH101" s="4">
        <v>115</v>
      </c>
      <c r="FI101" s="4">
        <v>115</v>
      </c>
      <c r="FJ101" s="4">
        <v>115</v>
      </c>
      <c r="FK101" s="4">
        <v>115</v>
      </c>
      <c r="FL101" s="4">
        <v>115</v>
      </c>
      <c r="FM101" s="4">
        <v>115</v>
      </c>
      <c r="FN101" s="4">
        <v>115</v>
      </c>
      <c r="FO101" s="4">
        <v>115</v>
      </c>
      <c r="FP101" s="4">
        <v>115</v>
      </c>
      <c r="FQ101" s="4">
        <v>115</v>
      </c>
      <c r="FR101" s="4">
        <v>115</v>
      </c>
      <c r="FS101" s="4">
        <v>115</v>
      </c>
      <c r="FT101" s="4">
        <v>115</v>
      </c>
      <c r="FU101" s="4">
        <v>115</v>
      </c>
      <c r="FV101" s="4">
        <v>115</v>
      </c>
      <c r="FW101" s="4">
        <v>115</v>
      </c>
      <c r="FX101" s="4">
        <v>115</v>
      </c>
      <c r="FY101" s="4">
        <v>115</v>
      </c>
      <c r="FZ101" s="4">
        <v>115</v>
      </c>
      <c r="GA101" s="4">
        <v>115</v>
      </c>
      <c r="GB101" s="4">
        <v>115</v>
      </c>
      <c r="GC101" s="4">
        <v>115</v>
      </c>
      <c r="GD101" s="4">
        <v>115</v>
      </c>
      <c r="GE101" s="4">
        <v>115</v>
      </c>
      <c r="GF101" s="4">
        <v>115</v>
      </c>
      <c r="GG101" s="4">
        <v>100</v>
      </c>
      <c r="GH101" s="4">
        <v>100</v>
      </c>
      <c r="GJ101" s="4">
        <v>87</v>
      </c>
      <c r="GK101" s="4">
        <v>2</v>
      </c>
      <c r="GL101" s="4">
        <v>25</v>
      </c>
      <c r="GP101" s="4">
        <v>26</v>
      </c>
      <c r="GQ101" s="4">
        <v>15</v>
      </c>
      <c r="GT101" s="4">
        <v>-36</v>
      </c>
      <c r="GU101" s="4">
        <v>-4</v>
      </c>
      <c r="IT101" s="4">
        <v>31</v>
      </c>
      <c r="IU101" s="4" t="s">
        <v>61</v>
      </c>
    </row>
    <row r="102" spans="1:255" hidden="1" x14ac:dyDescent="0.25">
      <c r="I102" s="4">
        <f>IF('DATOS Y RESPUESTAS'!B7&lt;16,1,2)</f>
        <v>1</v>
      </c>
      <c r="N102" s="3">
        <f>IF((I101=2)*AND(I102=1),3,0)</f>
        <v>3</v>
      </c>
      <c r="O102" s="3">
        <f>IF((I101=1)*AND(I102=1),1,0)</f>
        <v>0</v>
      </c>
      <c r="Q102" s="3">
        <f>LOOKUP(N70,GJ14:GJ603,GL14:GL603)</f>
        <v>0</v>
      </c>
      <c r="BV102" s="4">
        <v>86</v>
      </c>
      <c r="BW102" s="4">
        <v>115</v>
      </c>
      <c r="BX102" s="4">
        <v>115</v>
      </c>
      <c r="BY102" s="4">
        <v>115</v>
      </c>
      <c r="BZ102" s="4">
        <v>115</v>
      </c>
      <c r="CA102" s="4">
        <v>115</v>
      </c>
      <c r="CB102" s="4">
        <v>115</v>
      </c>
      <c r="CC102" s="4">
        <v>115</v>
      </c>
      <c r="CD102" s="4">
        <v>115</v>
      </c>
      <c r="CE102" s="4">
        <v>115</v>
      </c>
      <c r="CF102" s="4">
        <v>115</v>
      </c>
      <c r="CG102" s="4">
        <v>115</v>
      </c>
      <c r="CH102" s="4">
        <v>115</v>
      </c>
      <c r="CI102" s="4">
        <v>115</v>
      </c>
      <c r="CJ102" s="4">
        <v>115</v>
      </c>
      <c r="CK102" s="4">
        <v>115</v>
      </c>
      <c r="CL102" s="4">
        <v>115</v>
      </c>
      <c r="CM102" s="4">
        <v>115</v>
      </c>
      <c r="CN102" s="4">
        <v>115</v>
      </c>
      <c r="CO102" s="4">
        <v>115</v>
      </c>
      <c r="CP102" s="4">
        <v>115</v>
      </c>
      <c r="CQ102" s="4">
        <v>115</v>
      </c>
      <c r="CR102" s="4">
        <v>115</v>
      </c>
      <c r="CS102" s="4">
        <v>115</v>
      </c>
      <c r="CT102" s="4">
        <v>115</v>
      </c>
      <c r="CU102" s="4">
        <v>115</v>
      </c>
      <c r="CV102" s="4">
        <v>115</v>
      </c>
      <c r="CW102" s="4">
        <v>115</v>
      </c>
      <c r="CX102" s="4">
        <v>100</v>
      </c>
      <c r="CY102" s="4">
        <v>100</v>
      </c>
      <c r="CZ102" s="4">
        <v>115</v>
      </c>
      <c r="DA102" s="4">
        <v>115</v>
      </c>
      <c r="DB102" s="4">
        <v>115</v>
      </c>
      <c r="DC102" s="4">
        <v>115</v>
      </c>
      <c r="DD102" s="4">
        <v>115</v>
      </c>
      <c r="DE102" s="4">
        <v>115</v>
      </c>
      <c r="DF102" s="4">
        <v>115</v>
      </c>
      <c r="DG102" s="4">
        <v>115</v>
      </c>
      <c r="DH102" s="4">
        <v>115</v>
      </c>
      <c r="DI102" s="4">
        <v>115</v>
      </c>
      <c r="DJ102" s="4">
        <v>115</v>
      </c>
      <c r="DK102" s="4">
        <v>115</v>
      </c>
      <c r="DL102" s="4">
        <v>115</v>
      </c>
      <c r="DM102" s="4">
        <v>115</v>
      </c>
      <c r="DN102" s="4">
        <v>115</v>
      </c>
      <c r="DO102" s="4">
        <v>115</v>
      </c>
      <c r="DP102" s="4">
        <v>115</v>
      </c>
      <c r="DQ102" s="4">
        <v>115</v>
      </c>
      <c r="DR102" s="4">
        <v>115</v>
      </c>
      <c r="DS102" s="4">
        <v>115</v>
      </c>
      <c r="DT102" s="4">
        <v>115</v>
      </c>
      <c r="DU102" s="4">
        <v>115</v>
      </c>
      <c r="DV102" s="4">
        <v>115</v>
      </c>
      <c r="DW102" s="4">
        <v>115</v>
      </c>
      <c r="DX102" s="4">
        <v>115</v>
      </c>
      <c r="DY102" s="4">
        <v>115</v>
      </c>
      <c r="DZ102" s="4">
        <v>115</v>
      </c>
      <c r="EA102" s="4">
        <v>100</v>
      </c>
      <c r="EB102" s="4">
        <v>100</v>
      </c>
      <c r="EC102" s="4">
        <v>115</v>
      </c>
      <c r="ED102" s="4">
        <v>115</v>
      </c>
      <c r="EE102" s="4">
        <v>115</v>
      </c>
      <c r="EF102" s="4">
        <v>115</v>
      </c>
      <c r="EG102" s="4">
        <v>115</v>
      </c>
      <c r="EH102" s="4">
        <v>115</v>
      </c>
      <c r="EI102" s="4">
        <v>115</v>
      </c>
      <c r="EJ102" s="4">
        <v>115</v>
      </c>
      <c r="EK102" s="4">
        <v>115</v>
      </c>
      <c r="EL102" s="4">
        <v>115</v>
      </c>
      <c r="EM102" s="4">
        <v>115</v>
      </c>
      <c r="EN102" s="4">
        <v>115</v>
      </c>
      <c r="EO102" s="4">
        <v>115</v>
      </c>
      <c r="EP102" s="4">
        <v>115</v>
      </c>
      <c r="EQ102" s="4">
        <v>115</v>
      </c>
      <c r="ER102" s="4">
        <v>115</v>
      </c>
      <c r="ES102" s="4">
        <v>115</v>
      </c>
      <c r="ET102" s="4">
        <v>115</v>
      </c>
      <c r="EU102" s="4">
        <v>115</v>
      </c>
      <c r="EV102" s="4">
        <v>115</v>
      </c>
      <c r="EW102" s="4">
        <v>115</v>
      </c>
      <c r="EX102" s="4">
        <v>115</v>
      </c>
      <c r="EY102" s="4">
        <v>115</v>
      </c>
      <c r="EZ102" s="4">
        <v>115</v>
      </c>
      <c r="FA102" s="4">
        <v>115</v>
      </c>
      <c r="FB102" s="4">
        <v>115</v>
      </c>
      <c r="FC102" s="4">
        <v>115</v>
      </c>
      <c r="FD102" s="4">
        <v>100</v>
      </c>
      <c r="FE102" s="4">
        <v>100</v>
      </c>
      <c r="FF102" s="4">
        <v>115</v>
      </c>
      <c r="FG102" s="4">
        <v>115</v>
      </c>
      <c r="FH102" s="4">
        <v>115</v>
      </c>
      <c r="FI102" s="4">
        <v>115</v>
      </c>
      <c r="FJ102" s="4">
        <v>115</v>
      </c>
      <c r="FK102" s="4">
        <v>115</v>
      </c>
      <c r="FL102" s="4">
        <v>115</v>
      </c>
      <c r="FM102" s="4">
        <v>115</v>
      </c>
      <c r="FN102" s="4">
        <v>115</v>
      </c>
      <c r="FO102" s="4">
        <v>115</v>
      </c>
      <c r="FP102" s="4">
        <v>115</v>
      </c>
      <c r="FQ102" s="4">
        <v>115</v>
      </c>
      <c r="FR102" s="4">
        <v>115</v>
      </c>
      <c r="FS102" s="4">
        <v>115</v>
      </c>
      <c r="FT102" s="4">
        <v>115</v>
      </c>
      <c r="FU102" s="4">
        <v>115</v>
      </c>
      <c r="FV102" s="4">
        <v>115</v>
      </c>
      <c r="FW102" s="4">
        <v>115</v>
      </c>
      <c r="FX102" s="4">
        <v>115</v>
      </c>
      <c r="FY102" s="4">
        <v>115</v>
      </c>
      <c r="FZ102" s="4">
        <v>115</v>
      </c>
      <c r="GA102" s="4">
        <v>115</v>
      </c>
      <c r="GB102" s="4">
        <v>115</v>
      </c>
      <c r="GC102" s="4">
        <v>115</v>
      </c>
      <c r="GD102" s="4">
        <v>115</v>
      </c>
      <c r="GE102" s="4">
        <v>115</v>
      </c>
      <c r="GF102" s="4">
        <v>115</v>
      </c>
      <c r="GG102" s="4">
        <v>100</v>
      </c>
      <c r="GH102" s="4">
        <v>100</v>
      </c>
      <c r="GJ102" s="4">
        <v>88</v>
      </c>
      <c r="GK102" s="4">
        <v>2</v>
      </c>
      <c r="GL102" s="4">
        <v>25</v>
      </c>
      <c r="GP102" s="4">
        <v>27</v>
      </c>
      <c r="GQ102" s="4">
        <v>15</v>
      </c>
      <c r="GT102" s="4">
        <v>-35</v>
      </c>
      <c r="GU102" s="4">
        <v>-4</v>
      </c>
      <c r="IT102" s="4">
        <v>32</v>
      </c>
      <c r="IU102" s="4" t="s">
        <v>61</v>
      </c>
    </row>
    <row r="103" spans="1:255" hidden="1" x14ac:dyDescent="0.25">
      <c r="N103" s="3">
        <f>IF((I101=2)*AND(I102=2),4,0)</f>
        <v>0</v>
      </c>
      <c r="BE103" s="4" t="e">
        <f>LOOKUP(AJ97,BE89:BF90)</f>
        <v>#N/A</v>
      </c>
      <c r="BV103" s="4">
        <v>87</v>
      </c>
      <c r="BW103" s="4">
        <v>115</v>
      </c>
      <c r="BX103" s="4">
        <v>115</v>
      </c>
      <c r="BY103" s="4">
        <v>115</v>
      </c>
      <c r="BZ103" s="4">
        <v>115</v>
      </c>
      <c r="CA103" s="4">
        <v>115</v>
      </c>
      <c r="CB103" s="4">
        <v>115</v>
      </c>
      <c r="CC103" s="4">
        <v>115</v>
      </c>
      <c r="CD103" s="4">
        <v>115</v>
      </c>
      <c r="CE103" s="4">
        <v>115</v>
      </c>
      <c r="CF103" s="4">
        <v>115</v>
      </c>
      <c r="CG103" s="4">
        <v>115</v>
      </c>
      <c r="CH103" s="4">
        <v>115</v>
      </c>
      <c r="CI103" s="4">
        <v>115</v>
      </c>
      <c r="CJ103" s="4">
        <v>115</v>
      </c>
      <c r="CK103" s="4">
        <v>115</v>
      </c>
      <c r="CL103" s="4">
        <v>115</v>
      </c>
      <c r="CM103" s="4">
        <v>115</v>
      </c>
      <c r="CN103" s="4">
        <v>115</v>
      </c>
      <c r="CO103" s="4">
        <v>115</v>
      </c>
      <c r="CP103" s="4">
        <v>115</v>
      </c>
      <c r="CQ103" s="4">
        <v>115</v>
      </c>
      <c r="CR103" s="4">
        <v>115</v>
      </c>
      <c r="CS103" s="4">
        <v>115</v>
      </c>
      <c r="CT103" s="4">
        <v>115</v>
      </c>
      <c r="CU103" s="4">
        <v>115</v>
      </c>
      <c r="CV103" s="4">
        <v>115</v>
      </c>
      <c r="CW103" s="4">
        <v>115</v>
      </c>
      <c r="CX103" s="4">
        <v>100</v>
      </c>
      <c r="CY103" s="4">
        <v>100</v>
      </c>
      <c r="CZ103" s="4">
        <v>115</v>
      </c>
      <c r="DA103" s="4">
        <v>115</v>
      </c>
      <c r="DB103" s="4">
        <v>115</v>
      </c>
      <c r="DC103" s="4">
        <v>115</v>
      </c>
      <c r="DD103" s="4">
        <v>115</v>
      </c>
      <c r="DE103" s="4">
        <v>115</v>
      </c>
      <c r="DF103" s="4">
        <v>115</v>
      </c>
      <c r="DG103" s="4">
        <v>115</v>
      </c>
      <c r="DH103" s="4">
        <v>115</v>
      </c>
      <c r="DI103" s="4">
        <v>115</v>
      </c>
      <c r="DJ103" s="4">
        <v>115</v>
      </c>
      <c r="DK103" s="4">
        <v>115</v>
      </c>
      <c r="DL103" s="4">
        <v>115</v>
      </c>
      <c r="DM103" s="4">
        <v>115</v>
      </c>
      <c r="DN103" s="4">
        <v>115</v>
      </c>
      <c r="DO103" s="4">
        <v>115</v>
      </c>
      <c r="DP103" s="4">
        <v>115</v>
      </c>
      <c r="DQ103" s="4">
        <v>115</v>
      </c>
      <c r="DR103" s="4">
        <v>115</v>
      </c>
      <c r="DS103" s="4">
        <v>115</v>
      </c>
      <c r="DT103" s="4">
        <v>115</v>
      </c>
      <c r="DU103" s="4">
        <v>115</v>
      </c>
      <c r="DV103" s="4">
        <v>115</v>
      </c>
      <c r="DW103" s="4">
        <v>115</v>
      </c>
      <c r="DX103" s="4">
        <v>115</v>
      </c>
      <c r="DY103" s="4">
        <v>115</v>
      </c>
      <c r="DZ103" s="4">
        <v>115</v>
      </c>
      <c r="EA103" s="4">
        <v>100</v>
      </c>
      <c r="EB103" s="4">
        <v>100</v>
      </c>
      <c r="EC103" s="4">
        <v>115</v>
      </c>
      <c r="ED103" s="4">
        <v>115</v>
      </c>
      <c r="EE103" s="4">
        <v>115</v>
      </c>
      <c r="EF103" s="4">
        <v>115</v>
      </c>
      <c r="EG103" s="4">
        <v>115</v>
      </c>
      <c r="EH103" s="4">
        <v>115</v>
      </c>
      <c r="EI103" s="4">
        <v>115</v>
      </c>
      <c r="EJ103" s="4">
        <v>115</v>
      </c>
      <c r="EK103" s="4">
        <v>115</v>
      </c>
      <c r="EL103" s="4">
        <v>115</v>
      </c>
      <c r="EM103" s="4">
        <v>115</v>
      </c>
      <c r="EN103" s="4">
        <v>115</v>
      </c>
      <c r="EO103" s="4">
        <v>115</v>
      </c>
      <c r="EP103" s="4">
        <v>115</v>
      </c>
      <c r="EQ103" s="4">
        <v>115</v>
      </c>
      <c r="ER103" s="4">
        <v>115</v>
      </c>
      <c r="ES103" s="4">
        <v>115</v>
      </c>
      <c r="ET103" s="4">
        <v>115</v>
      </c>
      <c r="EU103" s="4">
        <v>115</v>
      </c>
      <c r="EV103" s="4">
        <v>115</v>
      </c>
      <c r="EW103" s="4">
        <v>115</v>
      </c>
      <c r="EX103" s="4">
        <v>115</v>
      </c>
      <c r="EY103" s="4">
        <v>115</v>
      </c>
      <c r="EZ103" s="4">
        <v>115</v>
      </c>
      <c r="FA103" s="4">
        <v>115</v>
      </c>
      <c r="FB103" s="4">
        <v>115</v>
      </c>
      <c r="FC103" s="4">
        <v>115</v>
      </c>
      <c r="FD103" s="4">
        <v>100</v>
      </c>
      <c r="FE103" s="4">
        <v>100</v>
      </c>
      <c r="FF103" s="4">
        <v>115</v>
      </c>
      <c r="FG103" s="4">
        <v>115</v>
      </c>
      <c r="FH103" s="4">
        <v>115</v>
      </c>
      <c r="FI103" s="4">
        <v>115</v>
      </c>
      <c r="FJ103" s="4">
        <v>115</v>
      </c>
      <c r="FK103" s="4">
        <v>115</v>
      </c>
      <c r="FL103" s="4">
        <v>115</v>
      </c>
      <c r="FM103" s="4">
        <v>115</v>
      </c>
      <c r="FN103" s="4">
        <v>115</v>
      </c>
      <c r="FO103" s="4">
        <v>115</v>
      </c>
      <c r="FP103" s="4">
        <v>115</v>
      </c>
      <c r="FQ103" s="4">
        <v>115</v>
      </c>
      <c r="FR103" s="4">
        <v>115</v>
      </c>
      <c r="FS103" s="4">
        <v>115</v>
      </c>
      <c r="FT103" s="4">
        <v>115</v>
      </c>
      <c r="FU103" s="4">
        <v>115</v>
      </c>
      <c r="FV103" s="4">
        <v>115</v>
      </c>
      <c r="FW103" s="4">
        <v>115</v>
      </c>
      <c r="FX103" s="4">
        <v>115</v>
      </c>
      <c r="FY103" s="4">
        <v>115</v>
      </c>
      <c r="FZ103" s="4">
        <v>115</v>
      </c>
      <c r="GA103" s="4">
        <v>115</v>
      </c>
      <c r="GB103" s="4">
        <v>115</v>
      </c>
      <c r="GC103" s="4">
        <v>115</v>
      </c>
      <c r="GD103" s="4">
        <v>115</v>
      </c>
      <c r="GE103" s="4">
        <v>115</v>
      </c>
      <c r="GF103" s="4">
        <v>115</v>
      </c>
      <c r="GG103" s="4">
        <v>100</v>
      </c>
      <c r="GH103" s="4">
        <v>100</v>
      </c>
      <c r="GJ103" s="4">
        <v>89</v>
      </c>
      <c r="GK103" s="4">
        <v>2</v>
      </c>
      <c r="GL103" s="4">
        <v>25</v>
      </c>
      <c r="GP103" s="4">
        <v>28</v>
      </c>
      <c r="GQ103" s="4">
        <v>15</v>
      </c>
      <c r="GT103" s="4">
        <v>-34</v>
      </c>
      <c r="GU103" s="4">
        <v>-3</v>
      </c>
      <c r="IT103" s="4">
        <v>33</v>
      </c>
      <c r="IU103" s="4" t="s">
        <v>61</v>
      </c>
    </row>
    <row r="104" spans="1:255" hidden="1" x14ac:dyDescent="0.25">
      <c r="O104" s="43">
        <f>SUM(N101+N102+N103+O102)</f>
        <v>3</v>
      </c>
      <c r="BE104" s="4" t="e">
        <f>LOOKUP(AJ98,BE89:BF90)</f>
        <v>#N/A</v>
      </c>
      <c r="BV104" s="4">
        <v>88</v>
      </c>
      <c r="BW104" s="4">
        <v>115</v>
      </c>
      <c r="BX104" s="4">
        <v>115</v>
      </c>
      <c r="BY104" s="4">
        <v>115</v>
      </c>
      <c r="BZ104" s="4">
        <v>115</v>
      </c>
      <c r="CA104" s="4">
        <v>115</v>
      </c>
      <c r="CB104" s="4">
        <v>115</v>
      </c>
      <c r="CC104" s="4">
        <v>115</v>
      </c>
      <c r="CD104" s="4">
        <v>115</v>
      </c>
      <c r="CE104" s="4">
        <v>115</v>
      </c>
      <c r="CF104" s="4">
        <v>115</v>
      </c>
      <c r="CG104" s="4">
        <v>115</v>
      </c>
      <c r="CH104" s="4">
        <v>115</v>
      </c>
      <c r="CI104" s="4">
        <v>115</v>
      </c>
      <c r="CJ104" s="4">
        <v>115</v>
      </c>
      <c r="CK104" s="4">
        <v>115</v>
      </c>
      <c r="CL104" s="4">
        <v>115</v>
      </c>
      <c r="CM104" s="4">
        <v>115</v>
      </c>
      <c r="CN104" s="4">
        <v>115</v>
      </c>
      <c r="CO104" s="4">
        <v>115</v>
      </c>
      <c r="CP104" s="4">
        <v>115</v>
      </c>
      <c r="CQ104" s="4">
        <v>115</v>
      </c>
      <c r="CR104" s="4">
        <v>115</v>
      </c>
      <c r="CS104" s="4">
        <v>115</v>
      </c>
      <c r="CT104" s="4">
        <v>115</v>
      </c>
      <c r="CU104" s="4">
        <v>115</v>
      </c>
      <c r="CV104" s="4">
        <v>115</v>
      </c>
      <c r="CW104" s="4">
        <v>115</v>
      </c>
      <c r="CX104" s="4">
        <v>100</v>
      </c>
      <c r="CY104" s="4">
        <v>100</v>
      </c>
      <c r="CZ104" s="4">
        <v>115</v>
      </c>
      <c r="DA104" s="4">
        <v>115</v>
      </c>
      <c r="DB104" s="4">
        <v>115</v>
      </c>
      <c r="DC104" s="4">
        <v>115</v>
      </c>
      <c r="DD104" s="4">
        <v>115</v>
      </c>
      <c r="DE104" s="4">
        <v>115</v>
      </c>
      <c r="DF104" s="4">
        <v>115</v>
      </c>
      <c r="DG104" s="4">
        <v>115</v>
      </c>
      <c r="DH104" s="4">
        <v>115</v>
      </c>
      <c r="DI104" s="4">
        <v>115</v>
      </c>
      <c r="DJ104" s="4">
        <v>115</v>
      </c>
      <c r="DK104" s="4">
        <v>115</v>
      </c>
      <c r="DL104" s="4">
        <v>115</v>
      </c>
      <c r="DM104" s="4">
        <v>115</v>
      </c>
      <c r="DN104" s="4">
        <v>115</v>
      </c>
      <c r="DO104" s="4">
        <v>115</v>
      </c>
      <c r="DP104" s="4">
        <v>115</v>
      </c>
      <c r="DQ104" s="4">
        <v>115</v>
      </c>
      <c r="DR104" s="4">
        <v>115</v>
      </c>
      <c r="DS104" s="4">
        <v>115</v>
      </c>
      <c r="DT104" s="4">
        <v>115</v>
      </c>
      <c r="DU104" s="4">
        <v>115</v>
      </c>
      <c r="DV104" s="4">
        <v>115</v>
      </c>
      <c r="DW104" s="4">
        <v>115</v>
      </c>
      <c r="DX104" s="4">
        <v>115</v>
      </c>
      <c r="DY104" s="4">
        <v>115</v>
      </c>
      <c r="DZ104" s="4">
        <v>115</v>
      </c>
      <c r="EA104" s="4">
        <v>100</v>
      </c>
      <c r="EB104" s="4">
        <v>100</v>
      </c>
      <c r="EC104" s="4">
        <v>115</v>
      </c>
      <c r="ED104" s="4">
        <v>115</v>
      </c>
      <c r="EE104" s="4">
        <v>115</v>
      </c>
      <c r="EF104" s="4">
        <v>115</v>
      </c>
      <c r="EG104" s="4">
        <v>115</v>
      </c>
      <c r="EH104" s="4">
        <v>115</v>
      </c>
      <c r="EI104" s="4">
        <v>115</v>
      </c>
      <c r="EJ104" s="4">
        <v>115</v>
      </c>
      <c r="EK104" s="4">
        <v>115</v>
      </c>
      <c r="EL104" s="4">
        <v>115</v>
      </c>
      <c r="EM104" s="4">
        <v>115</v>
      </c>
      <c r="EN104" s="4">
        <v>115</v>
      </c>
      <c r="EO104" s="4">
        <v>115</v>
      </c>
      <c r="EP104" s="4">
        <v>115</v>
      </c>
      <c r="EQ104" s="4">
        <v>115</v>
      </c>
      <c r="ER104" s="4">
        <v>115</v>
      </c>
      <c r="ES104" s="4">
        <v>115</v>
      </c>
      <c r="ET104" s="4">
        <v>115</v>
      </c>
      <c r="EU104" s="4">
        <v>115</v>
      </c>
      <c r="EV104" s="4">
        <v>115</v>
      </c>
      <c r="EW104" s="4">
        <v>115</v>
      </c>
      <c r="EX104" s="4">
        <v>115</v>
      </c>
      <c r="EY104" s="4">
        <v>115</v>
      </c>
      <c r="EZ104" s="4">
        <v>115</v>
      </c>
      <c r="FA104" s="4">
        <v>115</v>
      </c>
      <c r="FB104" s="4">
        <v>115</v>
      </c>
      <c r="FC104" s="4">
        <v>115</v>
      </c>
      <c r="FD104" s="4">
        <v>100</v>
      </c>
      <c r="FE104" s="4">
        <v>100</v>
      </c>
      <c r="FF104" s="4">
        <v>115</v>
      </c>
      <c r="FG104" s="4">
        <v>115</v>
      </c>
      <c r="FH104" s="4">
        <v>115</v>
      </c>
      <c r="FI104" s="4">
        <v>115</v>
      </c>
      <c r="FJ104" s="4">
        <v>115</v>
      </c>
      <c r="FK104" s="4">
        <v>115</v>
      </c>
      <c r="FL104" s="4">
        <v>115</v>
      </c>
      <c r="FM104" s="4">
        <v>115</v>
      </c>
      <c r="FN104" s="4">
        <v>115</v>
      </c>
      <c r="FO104" s="4">
        <v>115</v>
      </c>
      <c r="FP104" s="4">
        <v>115</v>
      </c>
      <c r="FQ104" s="4">
        <v>115</v>
      </c>
      <c r="FR104" s="4">
        <v>115</v>
      </c>
      <c r="FS104" s="4">
        <v>115</v>
      </c>
      <c r="FT104" s="4">
        <v>115</v>
      </c>
      <c r="FU104" s="4">
        <v>115</v>
      </c>
      <c r="FV104" s="4">
        <v>115</v>
      </c>
      <c r="FW104" s="4">
        <v>115</v>
      </c>
      <c r="FX104" s="4">
        <v>115</v>
      </c>
      <c r="FY104" s="4">
        <v>115</v>
      </c>
      <c r="FZ104" s="4">
        <v>115</v>
      </c>
      <c r="GA104" s="4">
        <v>115</v>
      </c>
      <c r="GB104" s="4">
        <v>115</v>
      </c>
      <c r="GC104" s="4">
        <v>115</v>
      </c>
      <c r="GD104" s="4">
        <v>115</v>
      </c>
      <c r="GE104" s="4">
        <v>115</v>
      </c>
      <c r="GF104" s="4">
        <v>115</v>
      </c>
      <c r="GG104" s="4">
        <v>100</v>
      </c>
      <c r="GH104" s="4">
        <v>100</v>
      </c>
      <c r="GJ104" s="4">
        <v>90</v>
      </c>
      <c r="GK104" s="4">
        <v>2</v>
      </c>
      <c r="GL104" s="4">
        <v>25</v>
      </c>
      <c r="GP104" s="4">
        <v>29</v>
      </c>
      <c r="GQ104" s="4">
        <v>15</v>
      </c>
      <c r="GT104" s="4">
        <v>-33</v>
      </c>
      <c r="GU104" s="4">
        <v>-3</v>
      </c>
      <c r="IT104" s="4">
        <v>34</v>
      </c>
      <c r="IU104" s="4" t="s">
        <v>61</v>
      </c>
    </row>
    <row r="105" spans="1:255" x14ac:dyDescent="0.25">
      <c r="BE105" s="4" t="e">
        <f>LOOKUP(AJ99,BE89:BF90)</f>
        <v>#N/A</v>
      </c>
      <c r="BV105" s="4">
        <v>89</v>
      </c>
      <c r="BW105" s="4">
        <v>115</v>
      </c>
      <c r="BX105" s="4">
        <v>115</v>
      </c>
      <c r="BY105" s="4">
        <v>115</v>
      </c>
      <c r="BZ105" s="4">
        <v>115</v>
      </c>
      <c r="CA105" s="4">
        <v>115</v>
      </c>
      <c r="CB105" s="4">
        <v>115</v>
      </c>
      <c r="CC105" s="4">
        <v>115</v>
      </c>
      <c r="CD105" s="4">
        <v>115</v>
      </c>
      <c r="CE105" s="4">
        <v>115</v>
      </c>
      <c r="CF105" s="4">
        <v>115</v>
      </c>
      <c r="CG105" s="4">
        <v>115</v>
      </c>
      <c r="CH105" s="4">
        <v>115</v>
      </c>
      <c r="CI105" s="4">
        <v>115</v>
      </c>
      <c r="CJ105" s="4">
        <v>115</v>
      </c>
      <c r="CK105" s="4">
        <v>115</v>
      </c>
      <c r="CL105" s="4">
        <v>115</v>
      </c>
      <c r="CM105" s="4">
        <v>115</v>
      </c>
      <c r="CN105" s="4">
        <v>115</v>
      </c>
      <c r="CO105" s="4">
        <v>115</v>
      </c>
      <c r="CP105" s="4">
        <v>115</v>
      </c>
      <c r="CQ105" s="4">
        <v>115</v>
      </c>
      <c r="CR105" s="4">
        <v>115</v>
      </c>
      <c r="CS105" s="4">
        <v>115</v>
      </c>
      <c r="CT105" s="4">
        <v>115</v>
      </c>
      <c r="CU105" s="4">
        <v>115</v>
      </c>
      <c r="CV105" s="4">
        <v>115</v>
      </c>
      <c r="CW105" s="4">
        <v>115</v>
      </c>
      <c r="CX105" s="4">
        <v>100</v>
      </c>
      <c r="CY105" s="4">
        <v>100</v>
      </c>
      <c r="CZ105" s="4">
        <v>115</v>
      </c>
      <c r="DA105" s="4">
        <v>115</v>
      </c>
      <c r="DB105" s="4">
        <v>115</v>
      </c>
      <c r="DC105" s="4">
        <v>115</v>
      </c>
      <c r="DD105" s="4">
        <v>115</v>
      </c>
      <c r="DE105" s="4">
        <v>115</v>
      </c>
      <c r="DF105" s="4">
        <v>115</v>
      </c>
      <c r="DG105" s="4">
        <v>115</v>
      </c>
      <c r="DH105" s="4">
        <v>115</v>
      </c>
      <c r="DI105" s="4">
        <v>115</v>
      </c>
      <c r="DJ105" s="4">
        <v>115</v>
      </c>
      <c r="DK105" s="4">
        <v>115</v>
      </c>
      <c r="DL105" s="4">
        <v>115</v>
      </c>
      <c r="DM105" s="4">
        <v>115</v>
      </c>
      <c r="DN105" s="4">
        <v>115</v>
      </c>
      <c r="DO105" s="4">
        <v>115</v>
      </c>
      <c r="DP105" s="4">
        <v>115</v>
      </c>
      <c r="DQ105" s="4">
        <v>115</v>
      </c>
      <c r="DR105" s="4">
        <v>115</v>
      </c>
      <c r="DS105" s="4">
        <v>115</v>
      </c>
      <c r="DT105" s="4">
        <v>115</v>
      </c>
      <c r="DU105" s="4">
        <v>115</v>
      </c>
      <c r="DV105" s="4">
        <v>115</v>
      </c>
      <c r="DW105" s="4">
        <v>115</v>
      </c>
      <c r="DX105" s="4">
        <v>115</v>
      </c>
      <c r="DY105" s="4">
        <v>115</v>
      </c>
      <c r="DZ105" s="4">
        <v>115</v>
      </c>
      <c r="EA105" s="4">
        <v>100</v>
      </c>
      <c r="EB105" s="4">
        <v>100</v>
      </c>
      <c r="EC105" s="4">
        <v>115</v>
      </c>
      <c r="ED105" s="4">
        <v>115</v>
      </c>
      <c r="EE105" s="4">
        <v>115</v>
      </c>
      <c r="EF105" s="4">
        <v>115</v>
      </c>
      <c r="EG105" s="4">
        <v>115</v>
      </c>
      <c r="EH105" s="4">
        <v>115</v>
      </c>
      <c r="EI105" s="4">
        <v>115</v>
      </c>
      <c r="EJ105" s="4">
        <v>115</v>
      </c>
      <c r="EK105" s="4">
        <v>115</v>
      </c>
      <c r="EL105" s="4">
        <v>115</v>
      </c>
      <c r="EM105" s="4">
        <v>115</v>
      </c>
      <c r="EN105" s="4">
        <v>115</v>
      </c>
      <c r="EO105" s="4">
        <v>115</v>
      </c>
      <c r="EP105" s="4">
        <v>115</v>
      </c>
      <c r="EQ105" s="4">
        <v>115</v>
      </c>
      <c r="ER105" s="4">
        <v>115</v>
      </c>
      <c r="ES105" s="4">
        <v>115</v>
      </c>
      <c r="ET105" s="4">
        <v>115</v>
      </c>
      <c r="EU105" s="4">
        <v>115</v>
      </c>
      <c r="EV105" s="4">
        <v>115</v>
      </c>
      <c r="EW105" s="4">
        <v>115</v>
      </c>
      <c r="EX105" s="4">
        <v>115</v>
      </c>
      <c r="EY105" s="4">
        <v>115</v>
      </c>
      <c r="EZ105" s="4">
        <v>115</v>
      </c>
      <c r="FA105" s="4">
        <v>115</v>
      </c>
      <c r="FB105" s="4">
        <v>115</v>
      </c>
      <c r="FC105" s="4">
        <v>115</v>
      </c>
      <c r="FD105" s="4">
        <v>100</v>
      </c>
      <c r="FE105" s="4">
        <v>100</v>
      </c>
      <c r="FF105" s="4">
        <v>115</v>
      </c>
      <c r="FG105" s="4">
        <v>115</v>
      </c>
      <c r="FH105" s="4">
        <v>115</v>
      </c>
      <c r="FI105" s="4">
        <v>115</v>
      </c>
      <c r="FJ105" s="4">
        <v>115</v>
      </c>
      <c r="FK105" s="4">
        <v>115</v>
      </c>
      <c r="FL105" s="4">
        <v>115</v>
      </c>
      <c r="FM105" s="4">
        <v>115</v>
      </c>
      <c r="FN105" s="4">
        <v>115</v>
      </c>
      <c r="FO105" s="4">
        <v>115</v>
      </c>
      <c r="FP105" s="4">
        <v>115</v>
      </c>
      <c r="FQ105" s="4">
        <v>115</v>
      </c>
      <c r="FR105" s="4">
        <v>115</v>
      </c>
      <c r="FS105" s="4">
        <v>115</v>
      </c>
      <c r="FT105" s="4">
        <v>115</v>
      </c>
      <c r="FU105" s="4">
        <v>115</v>
      </c>
      <c r="FV105" s="4">
        <v>115</v>
      </c>
      <c r="FW105" s="4">
        <v>115</v>
      </c>
      <c r="FX105" s="4">
        <v>115</v>
      </c>
      <c r="FY105" s="4">
        <v>115</v>
      </c>
      <c r="FZ105" s="4">
        <v>115</v>
      </c>
      <c r="GA105" s="4">
        <v>115</v>
      </c>
      <c r="GB105" s="4">
        <v>115</v>
      </c>
      <c r="GC105" s="4">
        <v>115</v>
      </c>
      <c r="GD105" s="4">
        <v>115</v>
      </c>
      <c r="GE105" s="4">
        <v>115</v>
      </c>
      <c r="GF105" s="4">
        <v>115</v>
      </c>
      <c r="GG105" s="4">
        <v>100</v>
      </c>
      <c r="GH105" s="4">
        <v>100</v>
      </c>
      <c r="GJ105" s="4">
        <v>91</v>
      </c>
      <c r="GK105" s="4">
        <v>2</v>
      </c>
      <c r="GL105" s="4">
        <v>25</v>
      </c>
      <c r="GP105" s="4">
        <v>30</v>
      </c>
      <c r="GQ105" s="4">
        <v>15</v>
      </c>
      <c r="GT105" s="4">
        <v>-32</v>
      </c>
      <c r="GU105" s="4">
        <v>-3</v>
      </c>
      <c r="IT105" s="4">
        <v>35</v>
      </c>
      <c r="IU105" s="4" t="s">
        <v>61</v>
      </c>
    </row>
    <row r="106" spans="1:255" x14ac:dyDescent="0.25">
      <c r="I106" s="14"/>
      <c r="J106" s="14"/>
      <c r="K106" s="14"/>
      <c r="L106" s="14"/>
      <c r="M106" s="14"/>
      <c r="N106" s="44"/>
      <c r="O106" s="44"/>
      <c r="BV106" s="4">
        <v>90</v>
      </c>
      <c r="BW106" s="4">
        <v>115</v>
      </c>
      <c r="BX106" s="4">
        <v>115</v>
      </c>
      <c r="BY106" s="4">
        <v>115</v>
      </c>
      <c r="BZ106" s="4">
        <v>115</v>
      </c>
      <c r="CA106" s="4">
        <v>115</v>
      </c>
      <c r="CB106" s="4">
        <v>115</v>
      </c>
      <c r="CC106" s="4">
        <v>115</v>
      </c>
      <c r="CD106" s="4">
        <v>115</v>
      </c>
      <c r="CE106" s="4">
        <v>115</v>
      </c>
      <c r="CF106" s="4">
        <v>115</v>
      </c>
      <c r="CG106" s="4">
        <v>115</v>
      </c>
      <c r="CH106" s="4">
        <v>115</v>
      </c>
      <c r="CI106" s="4">
        <v>115</v>
      </c>
      <c r="CJ106" s="4">
        <v>115</v>
      </c>
      <c r="CK106" s="4">
        <v>115</v>
      </c>
      <c r="CL106" s="4">
        <v>115</v>
      </c>
      <c r="CM106" s="4">
        <v>115</v>
      </c>
      <c r="CN106" s="4">
        <v>115</v>
      </c>
      <c r="CO106" s="4">
        <v>115</v>
      </c>
      <c r="CP106" s="4">
        <v>115</v>
      </c>
      <c r="CQ106" s="4">
        <v>115</v>
      </c>
      <c r="CR106" s="4">
        <v>115</v>
      </c>
      <c r="CS106" s="4">
        <v>115</v>
      </c>
      <c r="CT106" s="4">
        <v>115</v>
      </c>
      <c r="CU106" s="4">
        <v>115</v>
      </c>
      <c r="CV106" s="4">
        <v>115</v>
      </c>
      <c r="CW106" s="4">
        <v>115</v>
      </c>
      <c r="CX106" s="4">
        <v>100</v>
      </c>
      <c r="CY106" s="4">
        <v>100</v>
      </c>
      <c r="CZ106" s="4">
        <v>115</v>
      </c>
      <c r="DA106" s="4">
        <v>115</v>
      </c>
      <c r="DB106" s="4">
        <v>115</v>
      </c>
      <c r="DC106" s="4">
        <v>115</v>
      </c>
      <c r="DD106" s="4">
        <v>115</v>
      </c>
      <c r="DE106" s="4">
        <v>115</v>
      </c>
      <c r="DF106" s="4">
        <v>115</v>
      </c>
      <c r="DG106" s="4">
        <v>115</v>
      </c>
      <c r="DH106" s="4">
        <v>115</v>
      </c>
      <c r="DI106" s="4">
        <v>115</v>
      </c>
      <c r="DJ106" s="4">
        <v>115</v>
      </c>
      <c r="DK106" s="4">
        <v>115</v>
      </c>
      <c r="DL106" s="4">
        <v>115</v>
      </c>
      <c r="DM106" s="4">
        <v>115</v>
      </c>
      <c r="DN106" s="4">
        <v>115</v>
      </c>
      <c r="DO106" s="4">
        <v>115</v>
      </c>
      <c r="DP106" s="4">
        <v>115</v>
      </c>
      <c r="DQ106" s="4">
        <v>115</v>
      </c>
      <c r="DR106" s="4">
        <v>115</v>
      </c>
      <c r="DS106" s="4">
        <v>115</v>
      </c>
      <c r="DT106" s="4">
        <v>115</v>
      </c>
      <c r="DU106" s="4">
        <v>115</v>
      </c>
      <c r="DV106" s="4">
        <v>115</v>
      </c>
      <c r="DW106" s="4">
        <v>115</v>
      </c>
      <c r="DX106" s="4">
        <v>115</v>
      </c>
      <c r="DY106" s="4">
        <v>115</v>
      </c>
      <c r="DZ106" s="4">
        <v>115</v>
      </c>
      <c r="EA106" s="4">
        <v>100</v>
      </c>
      <c r="EB106" s="4">
        <v>100</v>
      </c>
      <c r="EC106" s="4">
        <v>115</v>
      </c>
      <c r="ED106" s="4">
        <v>115</v>
      </c>
      <c r="EE106" s="4">
        <v>115</v>
      </c>
      <c r="EF106" s="4">
        <v>115</v>
      </c>
      <c r="EG106" s="4">
        <v>115</v>
      </c>
      <c r="EH106" s="4">
        <v>115</v>
      </c>
      <c r="EI106" s="4">
        <v>115</v>
      </c>
      <c r="EJ106" s="4">
        <v>115</v>
      </c>
      <c r="EK106" s="4">
        <v>115</v>
      </c>
      <c r="EL106" s="4">
        <v>115</v>
      </c>
      <c r="EM106" s="4">
        <v>115</v>
      </c>
      <c r="EN106" s="4">
        <v>115</v>
      </c>
      <c r="EO106" s="4">
        <v>115</v>
      </c>
      <c r="EP106" s="4">
        <v>115</v>
      </c>
      <c r="EQ106" s="4">
        <v>115</v>
      </c>
      <c r="ER106" s="4">
        <v>115</v>
      </c>
      <c r="ES106" s="4">
        <v>115</v>
      </c>
      <c r="ET106" s="4">
        <v>115</v>
      </c>
      <c r="EU106" s="4">
        <v>115</v>
      </c>
      <c r="EV106" s="4">
        <v>115</v>
      </c>
      <c r="EW106" s="4">
        <v>115</v>
      </c>
      <c r="EX106" s="4">
        <v>115</v>
      </c>
      <c r="EY106" s="4">
        <v>115</v>
      </c>
      <c r="EZ106" s="4">
        <v>115</v>
      </c>
      <c r="FA106" s="4">
        <v>115</v>
      </c>
      <c r="FB106" s="4">
        <v>115</v>
      </c>
      <c r="FC106" s="4">
        <v>115</v>
      </c>
      <c r="FD106" s="4">
        <v>100</v>
      </c>
      <c r="FE106" s="4">
        <v>100</v>
      </c>
      <c r="FF106" s="4">
        <v>115</v>
      </c>
      <c r="FG106" s="4">
        <v>115</v>
      </c>
      <c r="FH106" s="4">
        <v>115</v>
      </c>
      <c r="FI106" s="4">
        <v>115</v>
      </c>
      <c r="FJ106" s="4">
        <v>115</v>
      </c>
      <c r="FK106" s="4">
        <v>115</v>
      </c>
      <c r="FL106" s="4">
        <v>115</v>
      </c>
      <c r="FM106" s="4">
        <v>115</v>
      </c>
      <c r="FN106" s="4">
        <v>115</v>
      </c>
      <c r="FO106" s="4">
        <v>115</v>
      </c>
      <c r="FP106" s="4">
        <v>115</v>
      </c>
      <c r="FQ106" s="4">
        <v>115</v>
      </c>
      <c r="FR106" s="4">
        <v>115</v>
      </c>
      <c r="FS106" s="4">
        <v>115</v>
      </c>
      <c r="FT106" s="4">
        <v>115</v>
      </c>
      <c r="FU106" s="4">
        <v>115</v>
      </c>
      <c r="FV106" s="4">
        <v>115</v>
      </c>
      <c r="FW106" s="4">
        <v>115</v>
      </c>
      <c r="FX106" s="4">
        <v>115</v>
      </c>
      <c r="FY106" s="4">
        <v>115</v>
      </c>
      <c r="FZ106" s="4">
        <v>115</v>
      </c>
      <c r="GA106" s="4">
        <v>115</v>
      </c>
      <c r="GB106" s="4">
        <v>115</v>
      </c>
      <c r="GC106" s="4">
        <v>115</v>
      </c>
      <c r="GD106" s="4">
        <v>115</v>
      </c>
      <c r="GE106" s="4">
        <v>115</v>
      </c>
      <c r="GF106" s="4">
        <v>115</v>
      </c>
      <c r="GG106" s="4">
        <v>100</v>
      </c>
      <c r="GH106" s="4">
        <v>100</v>
      </c>
      <c r="GJ106" s="4">
        <v>92</v>
      </c>
      <c r="GK106" s="4">
        <v>2</v>
      </c>
      <c r="GL106" s="4">
        <v>25</v>
      </c>
      <c r="GP106" s="4">
        <v>31</v>
      </c>
      <c r="GQ106" s="4">
        <v>15</v>
      </c>
      <c r="GT106" s="4">
        <v>-31</v>
      </c>
      <c r="GU106" s="4">
        <v>-3</v>
      </c>
      <c r="IT106" s="4">
        <v>36</v>
      </c>
      <c r="IU106" s="4" t="s">
        <v>61</v>
      </c>
    </row>
    <row r="107" spans="1:255" x14ac:dyDescent="0.25">
      <c r="I107" s="14" t="s">
        <v>131</v>
      </c>
      <c r="J107" s="14"/>
      <c r="K107" s="14"/>
      <c r="L107" s="14"/>
      <c r="M107" s="14"/>
      <c r="N107" s="44">
        <v>115</v>
      </c>
      <c r="O107" s="44"/>
      <c r="GJ107" s="4">
        <v>93</v>
      </c>
      <c r="GK107" s="4">
        <v>2</v>
      </c>
      <c r="GL107" s="4">
        <v>25</v>
      </c>
      <c r="GP107" s="4">
        <v>32</v>
      </c>
      <c r="GQ107" s="4">
        <v>15</v>
      </c>
      <c r="GT107" s="4">
        <v>-30</v>
      </c>
      <c r="GU107" s="4">
        <v>-3</v>
      </c>
      <c r="IT107" s="4">
        <v>37</v>
      </c>
      <c r="IU107" s="4" t="s">
        <v>61</v>
      </c>
    </row>
    <row r="108" spans="1:255" x14ac:dyDescent="0.25">
      <c r="I108" s="44" t="s">
        <v>132</v>
      </c>
      <c r="J108" s="14"/>
      <c r="K108" s="14"/>
      <c r="L108" s="14"/>
      <c r="M108" s="14"/>
      <c r="N108" s="44">
        <f>AU70</f>
        <v>37</v>
      </c>
      <c r="O108" s="44"/>
      <c r="FF108" s="4">
        <v>1</v>
      </c>
      <c r="FG108" s="4" t="s">
        <v>25</v>
      </c>
      <c r="FH108" s="4" t="s">
        <v>26</v>
      </c>
      <c r="FI108" s="4">
        <v>3</v>
      </c>
      <c r="FJ108" s="4">
        <v>4</v>
      </c>
      <c r="FK108" s="4">
        <v>5</v>
      </c>
      <c r="FL108" s="4" t="s">
        <v>27</v>
      </c>
      <c r="FM108" s="4" t="s">
        <v>28</v>
      </c>
      <c r="FN108" s="4">
        <v>7</v>
      </c>
      <c r="FO108" s="4" t="s">
        <v>29</v>
      </c>
      <c r="FP108" s="4" t="s">
        <v>30</v>
      </c>
      <c r="FQ108" s="4">
        <v>9</v>
      </c>
      <c r="FR108" s="4" t="s">
        <v>31</v>
      </c>
      <c r="FS108" s="4" t="s">
        <v>32</v>
      </c>
      <c r="FT108" s="4" t="s">
        <v>33</v>
      </c>
      <c r="FU108" s="4" t="s">
        <v>34</v>
      </c>
      <c r="FV108" s="4" t="s">
        <v>35</v>
      </c>
      <c r="FW108" s="4" t="s">
        <v>17</v>
      </c>
      <c r="FX108" s="4" t="s">
        <v>36</v>
      </c>
      <c r="FY108" s="4" t="s">
        <v>37</v>
      </c>
      <c r="FZ108" s="4" t="s">
        <v>38</v>
      </c>
      <c r="GA108" s="4" t="s">
        <v>39</v>
      </c>
      <c r="GB108" s="4" t="s">
        <v>40</v>
      </c>
      <c r="GC108" s="4" t="s">
        <v>41</v>
      </c>
      <c r="GD108" s="4" t="s">
        <v>42</v>
      </c>
      <c r="GE108" s="4" t="s">
        <v>43</v>
      </c>
      <c r="GF108" s="4" t="s">
        <v>44</v>
      </c>
      <c r="GG108" s="4" t="s">
        <v>45</v>
      </c>
      <c r="GH108" s="4" t="s">
        <v>46</v>
      </c>
      <c r="GJ108" s="4">
        <v>94</v>
      </c>
      <c r="GK108" s="4">
        <v>2</v>
      </c>
      <c r="GL108" s="4">
        <v>25</v>
      </c>
      <c r="GP108" s="4">
        <v>33</v>
      </c>
      <c r="GQ108" s="4">
        <v>15</v>
      </c>
      <c r="GT108" s="4">
        <v>-29</v>
      </c>
      <c r="GU108" s="4">
        <v>-3</v>
      </c>
      <c r="IT108" s="4">
        <v>38</v>
      </c>
      <c r="IU108" s="4" t="s">
        <v>61</v>
      </c>
    </row>
    <row r="109" spans="1:255" x14ac:dyDescent="0.25">
      <c r="I109" s="44" t="s">
        <v>45</v>
      </c>
      <c r="J109" s="14"/>
      <c r="K109" s="14"/>
      <c r="L109" s="14"/>
      <c r="M109" s="14"/>
      <c r="N109" s="44">
        <f>AU71</f>
        <v>41</v>
      </c>
      <c r="O109" s="44"/>
      <c r="FD109" s="4" t="s">
        <v>133</v>
      </c>
      <c r="FE109" s="4">
        <v>1</v>
      </c>
      <c r="FF109" s="4">
        <f>LOOKUP(N73,BV15:BV106,BW15:BW106)</f>
        <v>40</v>
      </c>
      <c r="FG109" s="4">
        <f>LOOKUP(N74,BV15:BV106,BX15:BX106)</f>
        <v>40</v>
      </c>
      <c r="FH109" s="4">
        <f>LOOKUP(N75,BV15:BV106,BY15:BY106)</f>
        <v>45</v>
      </c>
      <c r="FI109" s="4">
        <f>LOOKUP(N76,BV15:BV106,BZ15:BZ106)</f>
        <v>56</v>
      </c>
      <c r="FJ109" s="4">
        <f>LOOKUP(N77,BV15:BV106,CA15:CA106)</f>
        <v>56</v>
      </c>
      <c r="FK109" s="4">
        <f>LOOKUP(N78,BV15:BV106,CB15:CB106)</f>
        <v>34</v>
      </c>
      <c r="FL109" s="4">
        <f>LOOKUP(N79,BV15:BV106,CC15:CC106)</f>
        <v>42</v>
      </c>
      <c r="FM109" s="4">
        <f>LOOKUP(N80,BV15:BV106,CD15:CD106)</f>
        <v>42</v>
      </c>
      <c r="FN109" s="4">
        <f>LOOKUP(N81,BV15:BV106,CE15:CE106)</f>
        <v>53</v>
      </c>
      <c r="FO109" s="4">
        <f>LOOKUP(N82,BV15:BV106,CF15:CF106)</f>
        <v>49</v>
      </c>
      <c r="FP109" s="4">
        <f>LOOKUP(N83,BV15:BV106,CG15:CG106)</f>
        <v>46</v>
      </c>
      <c r="FQ109" s="4">
        <f>LOOKUP(N84,BV15:BV106,CH15:CH106)</f>
        <v>46</v>
      </c>
      <c r="FR109" s="4">
        <f>LOOKUP(N85,BV15:BV106,CI15:CI106)</f>
        <v>40</v>
      </c>
      <c r="FS109" s="4">
        <f>LOOKUP(N86,BV15:BV106,CJ15:CJ106)</f>
        <v>45</v>
      </c>
      <c r="FT109" s="4">
        <f>LOOKUP(N87,BV15:BV106,CK15:CK106)</f>
        <v>66</v>
      </c>
      <c r="FU109" s="4">
        <f>LOOKUP(N88,BV15:BV106,CL15:CL106)</f>
        <v>85</v>
      </c>
      <c r="FV109" s="4">
        <f>LOOKUP(N89,BV15:BV106,CM15:CM106)</f>
        <v>50</v>
      </c>
      <c r="FW109" s="4">
        <f>LOOKUP(N90,BV15:BV106,CN15:CN106)</f>
        <v>65</v>
      </c>
      <c r="FX109" s="4">
        <f>LOOKUP(N91,BV15:BV106,CO15:CO106)</f>
        <v>42</v>
      </c>
      <c r="FY109" s="4">
        <f>LOOKUP(N92,BV15:BV106,CP15:CP106)</f>
        <v>100</v>
      </c>
      <c r="FZ109" s="4">
        <f>LOOKUP(N93,BV15:BV106,CQ15:CQ106)</f>
        <v>67</v>
      </c>
      <c r="GA109" s="4">
        <f>LOOKUP(N94,BV15:BV106,CR15:CR106)</f>
        <v>58</v>
      </c>
      <c r="GB109" s="4">
        <f>LOOKUP(N95,BV15:BV106,CS15:CS106)</f>
        <v>60</v>
      </c>
      <c r="GC109" s="4">
        <f>LOOKUP(N96,BV15:BV106,CT15:CT106)</f>
        <v>45</v>
      </c>
      <c r="GD109" s="4">
        <f>LOOKUP(N97,BV15:BV106,CU15:CU106)</f>
        <v>47</v>
      </c>
      <c r="GE109" s="4">
        <f>LOOKUP(N98,BV15:BV106,CV15:CV106)</f>
        <v>35</v>
      </c>
      <c r="GF109" s="4">
        <f>LOOKUP(N99,BV15:BV106,CW15:CW106)</f>
        <v>53</v>
      </c>
      <c r="GG109" s="4">
        <f>LOOKUP(N71,BV15:BV106,CX15:CX106)</f>
        <v>38</v>
      </c>
      <c r="GH109" s="4">
        <f>LOOKUP(N72,BV15:BV106,CY15:CY106)</f>
        <v>46</v>
      </c>
      <c r="GJ109" s="4">
        <v>95</v>
      </c>
      <c r="GK109" s="4">
        <v>2</v>
      </c>
      <c r="GL109" s="4">
        <v>25</v>
      </c>
      <c r="GP109" s="4">
        <v>34</v>
      </c>
      <c r="GQ109" s="4">
        <v>15</v>
      </c>
      <c r="GT109" s="4">
        <v>-28</v>
      </c>
      <c r="GU109" s="4">
        <v>-3</v>
      </c>
      <c r="IT109" s="4">
        <v>39</v>
      </c>
      <c r="IU109" s="4" t="s">
        <v>61</v>
      </c>
    </row>
    <row r="110" spans="1:255" x14ac:dyDescent="0.25">
      <c r="I110" s="44" t="s">
        <v>46</v>
      </c>
      <c r="J110" s="14"/>
      <c r="K110" s="14"/>
      <c r="L110" s="14"/>
      <c r="M110" s="14"/>
      <c r="N110" s="44">
        <f>AU72</f>
        <v>34</v>
      </c>
      <c r="O110" s="44"/>
      <c r="V110" s="13"/>
      <c r="AD110" s="3"/>
      <c r="FD110" s="4" t="s">
        <v>134</v>
      </c>
      <c r="FE110" s="4">
        <v>2</v>
      </c>
      <c r="FF110" s="4">
        <f>LOOKUP(N73,BV15:BV106,CZ15:CZ106)</f>
        <v>36</v>
      </c>
      <c r="FG110" s="4">
        <f>LOOKUP(N74,BV15:BV106,DA15:DA106)</f>
        <v>41</v>
      </c>
      <c r="FH110" s="4">
        <f>LOOKUP(N75,BV15:BV106,DB15:DB106)</f>
        <v>43</v>
      </c>
      <c r="FI110" s="4">
        <f>LOOKUP(N76,BV15:BV106,DC15:DC106)</f>
        <v>57</v>
      </c>
      <c r="FJ110" s="4">
        <f>LOOKUP(N77,BV15:BV106,DD15:DD106)</f>
        <v>56</v>
      </c>
      <c r="FK110" s="4">
        <f>LOOKUP(N78,BV15:BV106,DE15:DE106)</f>
        <v>37</v>
      </c>
      <c r="FL110" s="4">
        <f>LOOKUP(N79,BV15:BV106,DF15:DF106)</f>
        <v>32</v>
      </c>
      <c r="FM110" s="4">
        <f>LOOKUP(N80,BV15:BV106,DG15:DG106)</f>
        <v>40</v>
      </c>
      <c r="FN110" s="4">
        <f>LOOKUP(N81,BV15:BV106,DH15:DH106)</f>
        <v>63</v>
      </c>
      <c r="FO110" s="4">
        <f>LOOKUP(N82,BV15:BV106,DI15:DI106)</f>
        <v>48</v>
      </c>
      <c r="FP110" s="4">
        <f>LOOKUP(N83,BV15:BV106,DJ15:DJ106)</f>
        <v>42</v>
      </c>
      <c r="FQ110" s="4">
        <f>LOOKUP(N84,BV15:BV106,DK15:DK106)</f>
        <v>45</v>
      </c>
      <c r="FR110" s="4">
        <f>LOOKUP(N85,BV15:BV106,DL15:DL106)</f>
        <v>31</v>
      </c>
      <c r="FS110" s="4">
        <f>LOOKUP(N86,BV15:BV106,DM15:DM106)</f>
        <v>45</v>
      </c>
      <c r="FT110" s="4">
        <f>LOOKUP(N87,BV15:BV106,DN15:DN106)</f>
        <v>62</v>
      </c>
      <c r="FU110" s="4">
        <f>LOOKUP(N88,BV15:BV106,DO15:DO106)</f>
        <v>105</v>
      </c>
      <c r="FV110" s="4">
        <f>LOOKUP(N89,BV15:BV106,DP15:DP106)</f>
        <v>50</v>
      </c>
      <c r="FW110" s="4">
        <f>LOOKUP(N90,BV15:BV106,DQ15:DQ106)</f>
        <v>60</v>
      </c>
      <c r="FX110" s="4">
        <f>LOOKUP(N91,BV15:BV106,DR15:DR106)</f>
        <v>33</v>
      </c>
      <c r="FY110" s="4">
        <f>LOOKUP(N92,BV15:BV106,DS15:DS106)</f>
        <v>107</v>
      </c>
      <c r="FZ110" s="4">
        <f>LOOKUP(N93,BV15:BV106,DT15:DT106)</f>
        <v>69</v>
      </c>
      <c r="GA110" s="4">
        <f>LOOKUP(N94,BV15:BV106,DU15:DU106)</f>
        <v>47</v>
      </c>
      <c r="GB110" s="4">
        <f>LOOKUP(N95,BV15:BV106,DV15:DV106)</f>
        <v>55</v>
      </c>
      <c r="GC110" s="4">
        <f>LOOKUP(N96,BV15:BV106,DW15:DW106)</f>
        <v>43</v>
      </c>
      <c r="GD110" s="4">
        <f>LOOKUP(N97,BV15:BV106,DX15:DX106)</f>
        <v>50</v>
      </c>
      <c r="GE110" s="4">
        <f>LOOKUP(N98,BV15:BV106,DY15:DY106)</f>
        <v>33</v>
      </c>
      <c r="GF110" s="4">
        <f>LOOKUP(N99,BV15:BV106,DZ15:DZ106)</f>
        <v>50</v>
      </c>
      <c r="GG110" s="4">
        <f>LOOKUP(N71,BV15:BV106,EA15:EA106)</f>
        <v>37</v>
      </c>
      <c r="GH110" s="4">
        <f>LOOKUP(N72,BV15:BV106,EB15:EB106)</f>
        <v>44</v>
      </c>
      <c r="GJ110" s="4">
        <v>96</v>
      </c>
      <c r="GK110" s="4">
        <v>2</v>
      </c>
      <c r="GL110" s="4">
        <v>25</v>
      </c>
      <c r="GP110" s="4">
        <v>35</v>
      </c>
      <c r="GQ110" s="4">
        <v>15</v>
      </c>
      <c r="GT110" s="4">
        <v>-27</v>
      </c>
      <c r="GU110" s="4">
        <v>-3</v>
      </c>
      <c r="IT110" s="4">
        <v>40</v>
      </c>
      <c r="IU110" s="4" t="s">
        <v>61</v>
      </c>
    </row>
    <row r="111" spans="1:255" x14ac:dyDescent="0.25">
      <c r="I111" s="14" t="s">
        <v>135</v>
      </c>
      <c r="J111" s="14"/>
      <c r="K111" s="14"/>
      <c r="L111" s="14"/>
      <c r="M111" s="14"/>
      <c r="N111" s="44">
        <v>33</v>
      </c>
      <c r="O111" s="44"/>
      <c r="V111" s="13"/>
      <c r="AD111" s="3"/>
      <c r="FD111" s="4" t="s">
        <v>136</v>
      </c>
      <c r="FE111" s="4">
        <v>3</v>
      </c>
      <c r="FF111" s="4">
        <f>LOOKUP(N73,BV15:BV106,EC15:EC106)</f>
        <v>26</v>
      </c>
      <c r="FG111" s="4">
        <f>LOOKUP(N74,BV15:BV106,ED15:ED106)</f>
        <v>20</v>
      </c>
      <c r="FH111" s="4">
        <f>LOOKUP(N75,BV15:BV106,EE15:EE106)</f>
        <v>37</v>
      </c>
      <c r="FI111" s="4">
        <f>LOOKUP(N76,BV15:BV106,EF15:EF106)</f>
        <v>42</v>
      </c>
      <c r="FJ111" s="4">
        <f>LOOKUP(N77,BV15:BV106,EG15:EG106)</f>
        <v>72</v>
      </c>
      <c r="FK111" s="4">
        <f>LOOKUP(N78,BV15:BV106,EH15:EH106)</f>
        <v>56</v>
      </c>
      <c r="FL111" s="4">
        <f>LOOKUP(N79,BV15:BV106,EI15:EI106)</f>
        <v>49</v>
      </c>
      <c r="FM111" s="4">
        <f>LOOKUP(N80,BV15:BV106,EJ15:EJ106)</f>
        <v>45</v>
      </c>
      <c r="FN111" s="4">
        <f>LOOKUP(N81,BV15:BV106,EK15:EK106)</f>
        <v>54</v>
      </c>
      <c r="FO111" s="4">
        <f>LOOKUP(N82,BV15:BV106,EL15:EL106)</f>
        <v>47</v>
      </c>
      <c r="FP111" s="4">
        <f>LOOKUP(N83,BV15:BV106,EM15:EM106)</f>
        <v>38</v>
      </c>
      <c r="FQ111" s="4">
        <f>LOOKUP(N84,BV15:BV106,EN15:EN106)</f>
        <v>40</v>
      </c>
      <c r="FR111" s="4">
        <f>LOOKUP(N85,BV15:BV106,EO15:EO106)</f>
        <v>30</v>
      </c>
      <c r="FS111" s="4">
        <f>LOOKUP(N86,BV15:BV106,EP15:EP106)</f>
        <v>32</v>
      </c>
      <c r="FT111" s="4">
        <f>LOOKUP(N87,BV15:BV106,EQ15:EQ106)</f>
        <v>45</v>
      </c>
      <c r="FU111" s="4">
        <f>LOOKUP(N88,BV15:BV106,ER15:ER106)</f>
        <v>73</v>
      </c>
      <c r="FV111" s="4">
        <f>LOOKUP(N89,BV15:BV106,ES15:ES106)</f>
        <v>47</v>
      </c>
      <c r="FW111" s="4">
        <f>LOOKUP(N90,BV15:BV106,ET15:ET106)</f>
        <v>81</v>
      </c>
      <c r="FX111" s="4">
        <f>LOOKUP(N91,BV15:BV106,EU15:EU106)</f>
        <v>42</v>
      </c>
      <c r="FY111" s="4">
        <f>LOOKUP(N92,BV15:BV106,EV15:EV106)</f>
        <v>77</v>
      </c>
      <c r="FZ111" s="4">
        <f>LOOKUP(N93,BV15:BV106,EW15:EW106)</f>
        <v>49</v>
      </c>
      <c r="GA111" s="4">
        <f>LOOKUP(N94,BV15:BV106,EX15:EX106)</f>
        <v>64</v>
      </c>
      <c r="GB111" s="4">
        <f>LOOKUP(N95,BV15:BV106,EY15:EY106)</f>
        <v>79</v>
      </c>
      <c r="GC111" s="4">
        <f>LOOKUP(N96,BV15:BV106,EZ15:EZ106)</f>
        <v>53</v>
      </c>
      <c r="GD111" s="4">
        <f>LOOKUP(N97,BV15:BV106,FA15:FA106)</f>
        <v>22</v>
      </c>
      <c r="GE111" s="4">
        <f>LOOKUP(N98,BV15:BV106,FB15:FB106)</f>
        <v>14</v>
      </c>
      <c r="GF111" s="4">
        <f>LOOKUP(N99,BV15:BV106,FC15:FC106)</f>
        <v>42</v>
      </c>
      <c r="GG111" s="4">
        <f>LOOKUP(N71,BV15:BV106,FD15:FD106)</f>
        <v>41</v>
      </c>
      <c r="GH111" s="4">
        <f>LOOKUP(N72,BV15:BV106,FE15:FE106)</f>
        <v>34</v>
      </c>
      <c r="GJ111" s="4">
        <v>97</v>
      </c>
      <c r="GK111" s="4">
        <v>2</v>
      </c>
      <c r="GL111" s="4">
        <v>25</v>
      </c>
      <c r="GP111" s="4">
        <v>36</v>
      </c>
      <c r="GQ111" s="4">
        <v>15</v>
      </c>
      <c r="GT111" s="4">
        <v>-26</v>
      </c>
      <c r="GU111" s="4">
        <v>-3</v>
      </c>
      <c r="IT111" s="4">
        <v>41</v>
      </c>
      <c r="IU111" s="4" t="s">
        <v>61</v>
      </c>
    </row>
    <row r="112" spans="1:255" x14ac:dyDescent="0.25">
      <c r="I112" s="44">
        <v>1</v>
      </c>
      <c r="J112" s="14"/>
      <c r="K112" s="14"/>
      <c r="L112" s="14"/>
      <c r="M112" s="14"/>
      <c r="N112" s="44">
        <f t="shared" ref="N112:N123" si="16">AU73</f>
        <v>26</v>
      </c>
      <c r="O112" s="44"/>
      <c r="V112" s="13"/>
      <c r="AD112" s="3"/>
      <c r="FD112" s="4" t="s">
        <v>137</v>
      </c>
      <c r="FE112" s="4">
        <v>4</v>
      </c>
      <c r="FF112" s="4">
        <f>LOOKUP(N73,BV15:BV106,FF15:FF106)</f>
        <v>23</v>
      </c>
      <c r="FG112" s="4">
        <f>LOOKUP(N74,BV15:BV106,FG15:FG106)</f>
        <v>20</v>
      </c>
      <c r="FH112" s="4">
        <f>LOOKUP(N75,BV15:BV106,FH15:FH106)</f>
        <v>29</v>
      </c>
      <c r="FI112" s="4">
        <f>LOOKUP(N76,BV15:BV106,FI15:FI106)</f>
        <v>42</v>
      </c>
      <c r="FJ112" s="4">
        <f>LOOKUP(N77,BV15:BV106,FJ15:FJ106)</f>
        <v>70</v>
      </c>
      <c r="FK112" s="4">
        <f>LOOKUP(N78,BV15:BV106,FK15:FK106)</f>
        <v>59</v>
      </c>
      <c r="FL112" s="4">
        <f>LOOKUP(N79,BV15:BV106,FL15:FL106)</f>
        <v>49</v>
      </c>
      <c r="FM112" s="4">
        <f>LOOKUP(N80,BV15:BV106,FM15:FM106)</f>
        <v>45</v>
      </c>
      <c r="FN112" s="4">
        <f>LOOKUP(N81,BV15:BV106,FN15:FN106)</f>
        <v>61</v>
      </c>
      <c r="FO112" s="4">
        <f>LOOKUP(N82,BV15:BV106,FO15:FO106)</f>
        <v>42</v>
      </c>
      <c r="FP112" s="4">
        <f>LOOKUP(N83,BV15:BV106,FP15:FP106)</f>
        <v>28</v>
      </c>
      <c r="FQ112" s="4">
        <f>LOOKUP(N84,BV15:BV106,FQ15:FQ106)</f>
        <v>34</v>
      </c>
      <c r="FR112" s="4">
        <f>LOOKUP(N85,BV15:BV106,FR15:FR106)</f>
        <v>28</v>
      </c>
      <c r="FS112" s="4">
        <f>LOOKUP(N86,BV15:BV106,FS15:FS106)</f>
        <v>25</v>
      </c>
      <c r="FT112" s="4">
        <f>LOOKUP(N87,BV15:BV106,FT15:FT106)</f>
        <v>42</v>
      </c>
      <c r="FU112" s="4">
        <f>LOOKUP(N88,BV15:BV106,FU15:FU106)</f>
        <v>83</v>
      </c>
      <c r="FV112" s="4">
        <f>LOOKUP(N89,BV15:BV106,FV15:FV106)</f>
        <v>48</v>
      </c>
      <c r="FW112" s="4">
        <f>LOOKUP(N90,BV15:BV106,FW15:FW106)</f>
        <v>85</v>
      </c>
      <c r="FX112" s="4">
        <f>LOOKUP(N91,BV15:BV106,FX15:FX106)</f>
        <v>35</v>
      </c>
      <c r="FY112" s="4">
        <f>LOOKUP(N92,BV15:BV106,FY15:FY106)</f>
        <v>75</v>
      </c>
      <c r="FZ112" s="4">
        <f>LOOKUP(N93,BV15:BV106,FZ15:FZ106)</f>
        <v>46</v>
      </c>
      <c r="GA112" s="4">
        <f>LOOKUP(N94,BV15:BV106,GA15:GA106)</f>
        <v>58</v>
      </c>
      <c r="GB112" s="4">
        <f>LOOKUP(N95,BV15:BV106,GB15:GB106)</f>
        <v>81</v>
      </c>
      <c r="GC112" s="4">
        <f>LOOKUP(N96,BV15:BV106,GC15:GC106)</f>
        <v>50</v>
      </c>
      <c r="GD112" s="4">
        <f>LOOKUP(N97,BV15:BV106,GD15:GD106)</f>
        <v>28</v>
      </c>
      <c r="GE112" s="4">
        <f>LOOKUP(N98,BV15:BV106,GE15:GE106)</f>
        <v>14</v>
      </c>
      <c r="GF112" s="4">
        <f>LOOKUP(N99,BV15:BV106,GF15:GF106)</f>
        <v>35</v>
      </c>
      <c r="GG112" s="4">
        <f>LOOKUP(N71,BV15:BV106,GG15:GG106)</f>
        <v>50</v>
      </c>
      <c r="GH112" s="4">
        <f>LOOKUP(N72,BV15:BV106,GH15:GH106)</f>
        <v>22</v>
      </c>
      <c r="GJ112" s="4">
        <v>98</v>
      </c>
      <c r="GK112" s="4">
        <v>2</v>
      </c>
      <c r="GL112" s="4">
        <v>25</v>
      </c>
      <c r="GP112" s="4">
        <v>37</v>
      </c>
      <c r="GQ112" s="4">
        <v>15</v>
      </c>
      <c r="GT112" s="4">
        <v>-25</v>
      </c>
      <c r="GU112" s="4">
        <v>-3</v>
      </c>
      <c r="IT112" s="4">
        <v>42</v>
      </c>
      <c r="IU112" s="4" t="s">
        <v>61</v>
      </c>
    </row>
    <row r="113" spans="9:255" x14ac:dyDescent="0.25">
      <c r="I113" s="44" t="s">
        <v>25</v>
      </c>
      <c r="J113" s="14"/>
      <c r="K113" s="14"/>
      <c r="L113" s="14"/>
      <c r="M113" s="14"/>
      <c r="N113" s="44">
        <f t="shared" si="16"/>
        <v>20</v>
      </c>
      <c r="O113" s="44"/>
      <c r="V113" s="13"/>
      <c r="AD113" s="3"/>
      <c r="GJ113" s="4">
        <v>99</v>
      </c>
      <c r="GK113" s="4">
        <v>2</v>
      </c>
      <c r="GL113" s="4">
        <v>25</v>
      </c>
      <c r="GP113" s="4">
        <v>38</v>
      </c>
      <c r="GQ113" s="4">
        <v>15</v>
      </c>
      <c r="GT113" s="4">
        <v>-24</v>
      </c>
      <c r="GU113" s="4">
        <v>-2</v>
      </c>
      <c r="IT113" s="4">
        <v>43</v>
      </c>
      <c r="IU113" s="4" t="s">
        <v>61</v>
      </c>
    </row>
    <row r="114" spans="9:255" x14ac:dyDescent="0.25">
      <c r="I114" s="44" t="s">
        <v>26</v>
      </c>
      <c r="J114" s="14"/>
      <c r="K114" s="14"/>
      <c r="L114" s="14"/>
      <c r="M114" s="14"/>
      <c r="N114" s="44">
        <f t="shared" si="16"/>
        <v>37</v>
      </c>
      <c r="O114" s="44"/>
      <c r="V114" s="13"/>
      <c r="AD114" s="3"/>
      <c r="GJ114" s="4">
        <v>100</v>
      </c>
      <c r="GK114" s="4">
        <v>2</v>
      </c>
      <c r="GL114" s="4">
        <v>25</v>
      </c>
      <c r="GP114" s="4">
        <v>39</v>
      </c>
      <c r="GQ114" s="4">
        <v>15</v>
      </c>
      <c r="GT114" s="4">
        <v>-23</v>
      </c>
      <c r="GU114" s="4">
        <v>-2</v>
      </c>
      <c r="IT114" s="4">
        <v>44</v>
      </c>
      <c r="IU114" s="4" t="s">
        <v>61</v>
      </c>
    </row>
    <row r="115" spans="9:255" x14ac:dyDescent="0.25">
      <c r="I115" s="44">
        <v>3</v>
      </c>
      <c r="J115" s="14"/>
      <c r="K115" s="14"/>
      <c r="L115" s="14"/>
      <c r="M115" s="14"/>
      <c r="N115" s="44">
        <f t="shared" si="16"/>
        <v>42</v>
      </c>
      <c r="O115" s="44"/>
      <c r="V115" s="13"/>
      <c r="AD115" s="3"/>
      <c r="GJ115" s="4">
        <v>101</v>
      </c>
      <c r="GK115" s="4">
        <v>2</v>
      </c>
      <c r="GL115" s="4">
        <v>25</v>
      </c>
      <c r="GP115" s="4">
        <v>40</v>
      </c>
      <c r="GQ115" s="4">
        <v>15</v>
      </c>
      <c r="GT115" s="4">
        <v>-22</v>
      </c>
      <c r="GU115" s="4">
        <v>-2</v>
      </c>
      <c r="IT115" s="4">
        <v>45</v>
      </c>
      <c r="IU115" s="4" t="s">
        <v>61</v>
      </c>
    </row>
    <row r="116" spans="9:255" x14ac:dyDescent="0.25">
      <c r="I116" s="44">
        <v>4</v>
      </c>
      <c r="J116" s="14"/>
      <c r="K116" s="14"/>
      <c r="L116" s="14"/>
      <c r="M116" s="14"/>
      <c r="N116" s="44">
        <f t="shared" si="16"/>
        <v>72</v>
      </c>
      <c r="O116" s="44"/>
      <c r="V116" s="13"/>
      <c r="AD116" s="3"/>
      <c r="GJ116" s="4">
        <v>102</v>
      </c>
      <c r="GK116" s="4">
        <v>2</v>
      </c>
      <c r="GL116" s="4">
        <v>25</v>
      </c>
      <c r="GP116" s="4">
        <v>41</v>
      </c>
      <c r="GQ116" s="4">
        <v>15</v>
      </c>
      <c r="GT116" s="4">
        <v>-21</v>
      </c>
      <c r="GU116" s="4">
        <v>-2</v>
      </c>
      <c r="IT116" s="4">
        <v>46</v>
      </c>
      <c r="IU116" s="4" t="s">
        <v>61</v>
      </c>
    </row>
    <row r="117" spans="9:255" x14ac:dyDescent="0.25">
      <c r="I117" s="44">
        <v>5</v>
      </c>
      <c r="J117" s="14"/>
      <c r="K117" s="14"/>
      <c r="L117" s="14"/>
      <c r="M117" s="14"/>
      <c r="N117" s="44">
        <f t="shared" si="16"/>
        <v>56</v>
      </c>
      <c r="O117" s="44"/>
      <c r="V117" s="13"/>
      <c r="AD117" s="3"/>
      <c r="GJ117" s="4">
        <v>103</v>
      </c>
      <c r="GK117" s="4">
        <v>2</v>
      </c>
      <c r="GL117" s="4">
        <v>25</v>
      </c>
      <c r="GP117" s="4">
        <v>42</v>
      </c>
      <c r="GQ117" s="4">
        <v>15</v>
      </c>
      <c r="GT117" s="4">
        <v>-20</v>
      </c>
      <c r="GU117" s="4">
        <v>-2</v>
      </c>
      <c r="IT117" s="4">
        <v>47</v>
      </c>
      <c r="IU117" s="4" t="s">
        <v>61</v>
      </c>
    </row>
    <row r="118" spans="9:255" x14ac:dyDescent="0.25">
      <c r="I118" s="44" t="s">
        <v>27</v>
      </c>
      <c r="J118" s="14"/>
      <c r="K118" s="14"/>
      <c r="L118" s="14"/>
      <c r="M118" s="14"/>
      <c r="N118" s="44">
        <f t="shared" si="16"/>
        <v>49</v>
      </c>
      <c r="O118" s="44"/>
      <c r="V118" s="13"/>
      <c r="AD118" s="3"/>
      <c r="GJ118" s="4">
        <v>104</v>
      </c>
      <c r="GK118" s="4">
        <v>2</v>
      </c>
      <c r="GL118" s="4">
        <v>25</v>
      </c>
      <c r="GP118" s="4">
        <v>43</v>
      </c>
      <c r="GQ118" s="4">
        <v>15</v>
      </c>
      <c r="GT118" s="4">
        <v>-19</v>
      </c>
      <c r="GU118" s="4">
        <v>-2</v>
      </c>
      <c r="IT118" s="4">
        <v>48</v>
      </c>
      <c r="IU118" s="4" t="s">
        <v>61</v>
      </c>
    </row>
    <row r="119" spans="9:255" x14ac:dyDescent="0.25">
      <c r="I119" s="44" t="s">
        <v>28</v>
      </c>
      <c r="J119" s="14"/>
      <c r="K119" s="14"/>
      <c r="L119" s="14"/>
      <c r="M119" s="14"/>
      <c r="N119" s="44">
        <f t="shared" si="16"/>
        <v>45</v>
      </c>
      <c r="O119" s="44"/>
      <c r="V119" s="13"/>
      <c r="AD119" s="3"/>
      <c r="GJ119" s="4">
        <v>105</v>
      </c>
      <c r="GK119" s="4">
        <v>2</v>
      </c>
      <c r="GL119" s="4">
        <v>25</v>
      </c>
      <c r="GP119" s="4">
        <v>44</v>
      </c>
      <c r="GQ119" s="4">
        <v>15</v>
      </c>
      <c r="GT119" s="4">
        <v>-18</v>
      </c>
      <c r="GU119" s="4">
        <v>-2</v>
      </c>
      <c r="IT119" s="4">
        <v>49</v>
      </c>
      <c r="IU119" s="4" t="s">
        <v>61</v>
      </c>
    </row>
    <row r="120" spans="9:255" x14ac:dyDescent="0.25">
      <c r="I120" s="44">
        <v>7</v>
      </c>
      <c r="J120" s="14"/>
      <c r="K120" s="14"/>
      <c r="L120" s="14"/>
      <c r="M120" s="14"/>
      <c r="N120" s="44">
        <f t="shared" si="16"/>
        <v>54</v>
      </c>
      <c r="O120" s="44"/>
      <c r="V120" s="13"/>
      <c r="AD120" s="3"/>
      <c r="GJ120" s="4">
        <v>106</v>
      </c>
      <c r="GK120" s="4">
        <v>2</v>
      </c>
      <c r="GL120" s="4">
        <v>25</v>
      </c>
      <c r="GP120" s="4">
        <v>45</v>
      </c>
      <c r="GQ120" s="4">
        <v>15</v>
      </c>
      <c r="GT120" s="4">
        <v>-17</v>
      </c>
      <c r="GU120" s="4">
        <v>-2</v>
      </c>
      <c r="IT120" s="4">
        <v>50</v>
      </c>
      <c r="IU120" s="4" t="s">
        <v>61</v>
      </c>
    </row>
    <row r="121" spans="9:255" x14ac:dyDescent="0.25">
      <c r="I121" s="44" t="s">
        <v>29</v>
      </c>
      <c r="J121" s="14"/>
      <c r="K121" s="14"/>
      <c r="L121" s="14"/>
      <c r="M121" s="14"/>
      <c r="N121" s="44">
        <f t="shared" si="16"/>
        <v>47</v>
      </c>
      <c r="O121" s="44"/>
      <c r="V121" s="13"/>
      <c r="AD121" s="3"/>
      <c r="GJ121" s="4">
        <v>107</v>
      </c>
      <c r="GK121" s="4">
        <v>2</v>
      </c>
      <c r="GL121" s="4">
        <v>25</v>
      </c>
      <c r="GP121" s="4">
        <v>46</v>
      </c>
      <c r="GQ121" s="4">
        <v>15</v>
      </c>
      <c r="GT121" s="4">
        <v>-16</v>
      </c>
      <c r="GU121" s="4">
        <v>-2</v>
      </c>
      <c r="IT121" s="4">
        <v>51</v>
      </c>
      <c r="IU121" s="4" t="s">
        <v>61</v>
      </c>
    </row>
    <row r="122" spans="9:255" x14ac:dyDescent="0.25">
      <c r="I122" s="44" t="s">
        <v>30</v>
      </c>
      <c r="J122" s="14"/>
      <c r="K122" s="14"/>
      <c r="L122" s="14"/>
      <c r="M122" s="14"/>
      <c r="N122" s="44">
        <f t="shared" si="16"/>
        <v>38</v>
      </c>
      <c r="O122" s="44"/>
      <c r="V122" s="13"/>
      <c r="AD122" s="3"/>
      <c r="GJ122" s="4">
        <v>108</v>
      </c>
      <c r="GK122" s="4">
        <v>2</v>
      </c>
      <c r="GL122" s="4">
        <v>25</v>
      </c>
      <c r="GP122" s="4">
        <v>47</v>
      </c>
      <c r="GQ122" s="4">
        <v>15</v>
      </c>
      <c r="GT122" s="4">
        <v>-15</v>
      </c>
      <c r="GU122" s="4">
        <v>-2</v>
      </c>
      <c r="IT122" s="4">
        <v>52</v>
      </c>
      <c r="IU122" s="4" t="s">
        <v>61</v>
      </c>
    </row>
    <row r="123" spans="9:255" x14ac:dyDescent="0.25">
      <c r="I123" s="44">
        <v>9</v>
      </c>
      <c r="J123" s="14"/>
      <c r="K123" s="14"/>
      <c r="L123" s="14"/>
      <c r="M123" s="14"/>
      <c r="N123" s="44">
        <f t="shared" si="16"/>
        <v>40</v>
      </c>
      <c r="O123" s="44"/>
      <c r="V123" s="13"/>
      <c r="AD123" s="3"/>
      <c r="GJ123" s="4">
        <v>109</v>
      </c>
      <c r="GK123" s="4">
        <v>2</v>
      </c>
      <c r="GL123" s="4">
        <v>25</v>
      </c>
      <c r="GP123" s="4">
        <v>48</v>
      </c>
      <c r="GQ123" s="4">
        <v>15</v>
      </c>
      <c r="GT123" s="4">
        <v>-14</v>
      </c>
      <c r="GU123" s="4">
        <v>-1</v>
      </c>
      <c r="IT123" s="4">
        <v>53</v>
      </c>
      <c r="IU123" s="4" t="s">
        <v>61</v>
      </c>
    </row>
    <row r="124" spans="9:255" x14ac:dyDescent="0.25">
      <c r="I124" s="14" t="s">
        <v>131</v>
      </c>
      <c r="J124" s="14"/>
      <c r="K124" s="14"/>
      <c r="L124" s="14"/>
      <c r="M124" s="14"/>
      <c r="N124" s="44">
        <v>0</v>
      </c>
      <c r="O124" s="44"/>
      <c r="V124" s="13"/>
      <c r="AD124" s="3"/>
      <c r="GJ124" s="4">
        <v>110</v>
      </c>
      <c r="GK124" s="4">
        <v>2</v>
      </c>
      <c r="GL124" s="4">
        <v>25</v>
      </c>
      <c r="GP124" s="4">
        <v>49</v>
      </c>
      <c r="GQ124" s="4">
        <v>15</v>
      </c>
      <c r="GT124" s="4">
        <v>-13</v>
      </c>
      <c r="GU124" s="4">
        <v>-1</v>
      </c>
      <c r="IT124" s="4">
        <v>54</v>
      </c>
      <c r="IU124" s="4" t="s">
        <v>61</v>
      </c>
    </row>
    <row r="125" spans="9:255" x14ac:dyDescent="0.25">
      <c r="I125" s="14" t="s">
        <v>131</v>
      </c>
      <c r="J125" s="14"/>
      <c r="K125" s="14"/>
      <c r="L125" s="14"/>
      <c r="M125" s="14"/>
      <c r="N125" s="44">
        <v>115</v>
      </c>
      <c r="O125" s="44"/>
      <c r="V125" s="13"/>
      <c r="AD125" s="3"/>
      <c r="GJ125" s="4">
        <v>111</v>
      </c>
      <c r="GK125" s="4">
        <v>2</v>
      </c>
      <c r="GL125" s="4">
        <v>25</v>
      </c>
      <c r="GP125" s="4">
        <v>50</v>
      </c>
      <c r="GQ125" s="4">
        <v>15</v>
      </c>
      <c r="GT125" s="4">
        <v>-12</v>
      </c>
      <c r="GU125" s="4">
        <v>-1</v>
      </c>
      <c r="IT125" s="4">
        <v>55</v>
      </c>
      <c r="IU125" s="4" t="s">
        <v>61</v>
      </c>
    </row>
    <row r="126" spans="9:255" x14ac:dyDescent="0.25">
      <c r="I126" s="44" t="s">
        <v>31</v>
      </c>
      <c r="J126" s="14"/>
      <c r="K126" s="14"/>
      <c r="L126" s="14"/>
      <c r="M126" s="14"/>
      <c r="N126" s="44">
        <f t="shared" ref="N126:N133" si="17">AU85</f>
        <v>31</v>
      </c>
      <c r="O126" s="44"/>
      <c r="V126" s="13"/>
      <c r="AD126" s="3"/>
      <c r="GJ126" s="4">
        <v>112</v>
      </c>
      <c r="GK126" s="4">
        <v>2</v>
      </c>
      <c r="GL126" s="4">
        <v>25</v>
      </c>
      <c r="GP126" s="4">
        <v>51</v>
      </c>
      <c r="GQ126" s="4">
        <v>15</v>
      </c>
      <c r="GT126" s="4">
        <v>-11</v>
      </c>
      <c r="GU126" s="4">
        <v>-1</v>
      </c>
      <c r="IT126" s="4">
        <v>56</v>
      </c>
      <c r="IU126" s="4" t="s">
        <v>61</v>
      </c>
    </row>
    <row r="127" spans="9:255" x14ac:dyDescent="0.25">
      <c r="I127" s="44" t="s">
        <v>32</v>
      </c>
      <c r="J127" s="14"/>
      <c r="K127" s="14"/>
      <c r="L127" s="14"/>
      <c r="M127" s="14"/>
      <c r="N127" s="44">
        <f t="shared" si="17"/>
        <v>33</v>
      </c>
      <c r="O127" s="44"/>
      <c r="V127" s="13"/>
      <c r="AD127" s="3"/>
      <c r="GJ127" s="4">
        <v>113</v>
      </c>
      <c r="GK127" s="4">
        <v>2</v>
      </c>
      <c r="GL127" s="4">
        <v>25</v>
      </c>
      <c r="GP127" s="4">
        <v>52</v>
      </c>
      <c r="GQ127" s="4">
        <v>15</v>
      </c>
      <c r="GT127" s="4">
        <v>-10</v>
      </c>
      <c r="GU127" s="4">
        <v>-1</v>
      </c>
      <c r="IT127" s="4">
        <v>57</v>
      </c>
      <c r="IU127" s="4" t="s">
        <v>61</v>
      </c>
    </row>
    <row r="128" spans="9:255" x14ac:dyDescent="0.25">
      <c r="I128" s="44" t="s">
        <v>33</v>
      </c>
      <c r="J128" s="14"/>
      <c r="K128" s="14"/>
      <c r="L128" s="14"/>
      <c r="M128" s="14"/>
      <c r="N128" s="44">
        <f t="shared" si="17"/>
        <v>46</v>
      </c>
      <c r="O128" s="44"/>
      <c r="V128" s="13"/>
      <c r="AD128" s="3"/>
      <c r="GJ128" s="4">
        <v>114</v>
      </c>
      <c r="GK128" s="4">
        <v>2</v>
      </c>
      <c r="GL128" s="4">
        <v>25</v>
      </c>
      <c r="GP128" s="4">
        <v>53</v>
      </c>
      <c r="GQ128" s="4">
        <v>15</v>
      </c>
      <c r="GT128" s="4">
        <v>-9</v>
      </c>
      <c r="GU128" s="4">
        <v>-1</v>
      </c>
      <c r="IT128" s="4">
        <v>58</v>
      </c>
      <c r="IU128" s="4" t="s">
        <v>61</v>
      </c>
    </row>
    <row r="129" spans="9:255" x14ac:dyDescent="0.25">
      <c r="I129" s="44" t="s">
        <v>34</v>
      </c>
      <c r="J129" s="14"/>
      <c r="K129" s="14"/>
      <c r="L129" s="14"/>
      <c r="M129" s="14"/>
      <c r="N129" s="44">
        <f t="shared" si="17"/>
        <v>74</v>
      </c>
      <c r="O129" s="44"/>
      <c r="V129" s="13"/>
      <c r="AD129" s="3"/>
      <c r="GJ129" s="4">
        <v>115</v>
      </c>
      <c r="GK129" s="4">
        <v>2</v>
      </c>
      <c r="GL129" s="4">
        <v>25</v>
      </c>
      <c r="GP129" s="4">
        <v>54</v>
      </c>
      <c r="GQ129" s="4">
        <v>15</v>
      </c>
      <c r="GT129" s="4">
        <v>-8</v>
      </c>
      <c r="GU129" s="4">
        <v>-1</v>
      </c>
      <c r="IT129" s="4">
        <v>59</v>
      </c>
      <c r="IU129" s="4" t="s">
        <v>61</v>
      </c>
    </row>
    <row r="130" spans="9:255" x14ac:dyDescent="0.25">
      <c r="I130" s="44" t="s">
        <v>35</v>
      </c>
      <c r="J130" s="14"/>
      <c r="K130" s="14"/>
      <c r="L130" s="14"/>
      <c r="M130" s="14"/>
      <c r="N130" s="44">
        <f t="shared" si="17"/>
        <v>48</v>
      </c>
      <c r="O130" s="44"/>
      <c r="V130" s="13"/>
      <c r="AD130" s="3"/>
      <c r="GJ130" s="4">
        <v>116</v>
      </c>
      <c r="GK130" s="4">
        <v>2</v>
      </c>
      <c r="GL130" s="4">
        <v>25</v>
      </c>
      <c r="GP130" s="4">
        <v>55</v>
      </c>
      <c r="GQ130" s="4">
        <v>15</v>
      </c>
      <c r="GT130" s="4">
        <v>-7</v>
      </c>
      <c r="GU130" s="4">
        <v>-1</v>
      </c>
      <c r="IT130" s="4">
        <v>60</v>
      </c>
      <c r="IU130" s="4" t="s">
        <v>138</v>
      </c>
    </row>
    <row r="131" spans="9:255" x14ac:dyDescent="0.25">
      <c r="I131" s="44" t="s">
        <v>17</v>
      </c>
      <c r="J131" s="14"/>
      <c r="K131" s="14"/>
      <c r="L131" s="14"/>
      <c r="M131" s="14"/>
      <c r="N131" s="44">
        <f t="shared" si="17"/>
        <v>81</v>
      </c>
      <c r="O131" s="44"/>
      <c r="V131" s="13"/>
      <c r="AD131" s="3"/>
      <c r="GJ131" s="4">
        <v>117</v>
      </c>
      <c r="GK131" s="4">
        <v>2</v>
      </c>
      <c r="GL131" s="4">
        <v>25</v>
      </c>
      <c r="GP131" s="4">
        <v>56</v>
      </c>
      <c r="GQ131" s="4">
        <v>15</v>
      </c>
      <c r="GT131" s="4">
        <v>-6</v>
      </c>
      <c r="GU131" s="4">
        <v>-1</v>
      </c>
      <c r="IT131" s="4">
        <v>61</v>
      </c>
      <c r="IU131" s="4" t="s">
        <v>138</v>
      </c>
    </row>
    <row r="132" spans="9:255" x14ac:dyDescent="0.25">
      <c r="I132" s="44" t="s">
        <v>36</v>
      </c>
      <c r="J132" s="14"/>
      <c r="K132" s="14"/>
      <c r="L132" s="14"/>
      <c r="M132" s="14"/>
      <c r="N132" s="44">
        <f t="shared" si="17"/>
        <v>43</v>
      </c>
      <c r="O132" s="44"/>
      <c r="V132" s="13"/>
      <c r="AD132" s="3"/>
      <c r="GJ132" s="4">
        <v>118</v>
      </c>
      <c r="GK132" s="4">
        <v>2</v>
      </c>
      <c r="GL132" s="4">
        <v>25</v>
      </c>
      <c r="GP132" s="4">
        <v>57</v>
      </c>
      <c r="GQ132" s="4">
        <v>15</v>
      </c>
      <c r="GT132" s="4">
        <v>-5</v>
      </c>
      <c r="GU132" s="4">
        <v>-1</v>
      </c>
      <c r="IT132" s="4">
        <v>62</v>
      </c>
      <c r="IU132" s="4" t="s">
        <v>138</v>
      </c>
    </row>
    <row r="133" spans="9:255" x14ac:dyDescent="0.25">
      <c r="I133" s="44" t="s">
        <v>37</v>
      </c>
      <c r="J133" s="14"/>
      <c r="K133" s="14"/>
      <c r="L133" s="14"/>
      <c r="M133" s="14"/>
      <c r="N133" s="44">
        <f t="shared" si="17"/>
        <v>78</v>
      </c>
      <c r="O133" s="44"/>
      <c r="V133" s="13"/>
      <c r="AD133" s="3"/>
      <c r="GJ133" s="4">
        <v>119</v>
      </c>
      <c r="GK133" s="4">
        <v>2</v>
      </c>
      <c r="GL133" s="4">
        <v>25</v>
      </c>
      <c r="GP133" s="4">
        <v>58</v>
      </c>
      <c r="GQ133" s="4">
        <v>15</v>
      </c>
      <c r="GT133" s="4">
        <v>-4</v>
      </c>
      <c r="GU133" s="4">
        <v>0</v>
      </c>
      <c r="IT133" s="4">
        <v>63</v>
      </c>
      <c r="IU133" s="4" t="s">
        <v>138</v>
      </c>
    </row>
    <row r="134" spans="9:255" x14ac:dyDescent="0.25">
      <c r="I134" s="14" t="s">
        <v>131</v>
      </c>
      <c r="J134" s="14"/>
      <c r="K134" s="14"/>
      <c r="L134" s="14"/>
      <c r="M134" s="14"/>
      <c r="N134" s="44">
        <v>44</v>
      </c>
      <c r="O134" s="44"/>
      <c r="V134" s="13"/>
      <c r="AD134" s="3"/>
      <c r="GJ134" s="4">
        <v>120</v>
      </c>
      <c r="GK134" s="4">
        <v>2</v>
      </c>
      <c r="GL134" s="4">
        <v>25</v>
      </c>
      <c r="GP134" s="4">
        <v>59</v>
      </c>
      <c r="GQ134" s="4">
        <v>15</v>
      </c>
      <c r="GT134" s="4">
        <v>-3</v>
      </c>
      <c r="GU134" s="4">
        <v>0</v>
      </c>
      <c r="IT134" s="4">
        <v>64</v>
      </c>
      <c r="IU134" s="4" t="s">
        <v>138</v>
      </c>
    </row>
    <row r="135" spans="9:255" x14ac:dyDescent="0.25">
      <c r="I135" s="44" t="s">
        <v>38</v>
      </c>
      <c r="J135" s="14"/>
      <c r="K135" s="14"/>
      <c r="L135" s="14"/>
      <c r="M135" s="14"/>
      <c r="N135" s="44">
        <f t="shared" ref="N135:N141" si="18">AU93</f>
        <v>50</v>
      </c>
      <c r="O135" s="44"/>
      <c r="V135" s="13"/>
      <c r="AD135" s="3"/>
      <c r="GJ135" s="4">
        <v>121</v>
      </c>
      <c r="GK135" s="4">
        <v>2</v>
      </c>
      <c r="GL135" s="4">
        <v>25</v>
      </c>
      <c r="GP135" s="4">
        <v>60</v>
      </c>
      <c r="GQ135" s="4">
        <v>15</v>
      </c>
      <c r="GT135" s="4">
        <v>-2</v>
      </c>
      <c r="GU135" s="4">
        <v>0</v>
      </c>
      <c r="IT135" s="4">
        <v>65</v>
      </c>
      <c r="IU135" s="4" t="s">
        <v>138</v>
      </c>
    </row>
    <row r="136" spans="9:255" x14ac:dyDescent="0.25">
      <c r="I136" s="44" t="s">
        <v>39</v>
      </c>
      <c r="J136" s="14"/>
      <c r="K136" s="14"/>
      <c r="L136" s="14"/>
      <c r="M136" s="14"/>
      <c r="N136" s="44">
        <f t="shared" si="18"/>
        <v>64</v>
      </c>
      <c r="O136" s="44"/>
      <c r="V136" s="13"/>
      <c r="AD136" s="3"/>
      <c r="GJ136" s="4">
        <v>122</v>
      </c>
      <c r="GK136" s="4">
        <v>2</v>
      </c>
      <c r="GL136" s="4">
        <v>25</v>
      </c>
      <c r="GP136" s="4">
        <v>61</v>
      </c>
      <c r="GQ136" s="4">
        <v>15</v>
      </c>
      <c r="GT136" s="4">
        <v>-1</v>
      </c>
      <c r="GU136" s="4">
        <v>0</v>
      </c>
      <c r="IT136" s="4">
        <v>66</v>
      </c>
      <c r="IU136" s="4" t="s">
        <v>138</v>
      </c>
    </row>
    <row r="137" spans="9:255" x14ac:dyDescent="0.25">
      <c r="I137" s="44" t="s">
        <v>40</v>
      </c>
      <c r="J137" s="14"/>
      <c r="K137" s="14"/>
      <c r="L137" s="14"/>
      <c r="M137" s="14"/>
      <c r="N137" s="44">
        <f t="shared" si="18"/>
        <v>79</v>
      </c>
      <c r="O137" s="44"/>
      <c r="AD137" s="3"/>
      <c r="GJ137" s="4">
        <v>123</v>
      </c>
      <c r="GK137" s="4">
        <v>2</v>
      </c>
      <c r="GL137" s="4">
        <v>25</v>
      </c>
      <c r="GP137" s="4">
        <v>62</v>
      </c>
      <c r="GQ137" s="4">
        <v>15</v>
      </c>
      <c r="GT137" s="4">
        <v>0</v>
      </c>
      <c r="GU137" s="4">
        <v>0</v>
      </c>
      <c r="IT137" s="4">
        <v>67</v>
      </c>
      <c r="IU137" s="4" t="s">
        <v>138</v>
      </c>
    </row>
    <row r="138" spans="9:255" x14ac:dyDescent="0.25">
      <c r="I138" s="44" t="s">
        <v>41</v>
      </c>
      <c r="J138" s="14"/>
      <c r="K138" s="14"/>
      <c r="L138" s="14"/>
      <c r="M138" s="14"/>
      <c r="N138" s="44">
        <f t="shared" si="18"/>
        <v>53</v>
      </c>
      <c r="O138" s="44"/>
      <c r="AD138" s="3"/>
      <c r="GJ138" s="4">
        <v>124</v>
      </c>
      <c r="GK138" s="4">
        <v>2</v>
      </c>
      <c r="GL138" s="4">
        <v>25</v>
      </c>
      <c r="GP138" s="4">
        <v>63</v>
      </c>
      <c r="GQ138" s="4">
        <v>15</v>
      </c>
      <c r="GT138" s="4">
        <v>1</v>
      </c>
      <c r="GU138" s="4">
        <v>0</v>
      </c>
      <c r="IT138" s="4">
        <v>68</v>
      </c>
      <c r="IU138" s="4" t="s">
        <v>138</v>
      </c>
    </row>
    <row r="139" spans="9:255" x14ac:dyDescent="0.25">
      <c r="I139" s="44" t="s">
        <v>42</v>
      </c>
      <c r="J139" s="14"/>
      <c r="K139" s="14"/>
      <c r="L139" s="14"/>
      <c r="M139" s="14"/>
      <c r="N139" s="44">
        <f t="shared" si="18"/>
        <v>23</v>
      </c>
      <c r="O139" s="44"/>
      <c r="AD139" s="3"/>
      <c r="GJ139" s="4">
        <v>125</v>
      </c>
      <c r="GK139" s="4">
        <v>2</v>
      </c>
      <c r="GL139" s="4">
        <v>25</v>
      </c>
      <c r="GP139" s="4">
        <v>64</v>
      </c>
      <c r="GQ139" s="4">
        <v>15</v>
      </c>
      <c r="GT139" s="4">
        <v>2</v>
      </c>
      <c r="GU139" s="4">
        <v>0</v>
      </c>
      <c r="IT139" s="4">
        <v>69</v>
      </c>
      <c r="IU139" s="4" t="s">
        <v>138</v>
      </c>
    </row>
    <row r="140" spans="9:255" x14ac:dyDescent="0.25">
      <c r="I140" s="44" t="s">
        <v>43</v>
      </c>
      <c r="J140" s="14"/>
      <c r="K140" s="14"/>
      <c r="L140" s="14"/>
      <c r="M140" s="14"/>
      <c r="N140" s="44">
        <f t="shared" si="18"/>
        <v>15</v>
      </c>
      <c r="O140" s="44"/>
      <c r="GJ140" s="4">
        <v>126</v>
      </c>
      <c r="GK140" s="4">
        <v>2</v>
      </c>
      <c r="GL140" s="4">
        <v>25</v>
      </c>
      <c r="GP140" s="4">
        <v>65</v>
      </c>
      <c r="GQ140" s="4">
        <v>15</v>
      </c>
      <c r="GT140" s="4">
        <v>3</v>
      </c>
      <c r="GU140" s="4">
        <v>0</v>
      </c>
      <c r="IT140" s="4">
        <v>70</v>
      </c>
      <c r="IU140" s="4" t="s">
        <v>138</v>
      </c>
    </row>
    <row r="141" spans="9:255" x14ac:dyDescent="0.25">
      <c r="I141" s="44" t="s">
        <v>44</v>
      </c>
      <c r="J141" s="14"/>
      <c r="K141" s="14"/>
      <c r="L141" s="14"/>
      <c r="M141" s="14"/>
      <c r="N141" s="44">
        <f t="shared" si="18"/>
        <v>43</v>
      </c>
      <c r="O141" s="44"/>
      <c r="GJ141" s="4">
        <v>127</v>
      </c>
      <c r="GK141" s="4">
        <v>2</v>
      </c>
      <c r="GL141" s="4">
        <v>25</v>
      </c>
      <c r="GP141" s="4">
        <v>66</v>
      </c>
      <c r="GQ141" s="4">
        <v>15</v>
      </c>
      <c r="GT141" s="4">
        <v>4</v>
      </c>
      <c r="GU141" s="4">
        <v>0</v>
      </c>
      <c r="IT141" s="4">
        <v>71</v>
      </c>
      <c r="IU141" s="4" t="s">
        <v>138</v>
      </c>
    </row>
    <row r="142" spans="9:255" x14ac:dyDescent="0.25">
      <c r="I142" s="14" t="s">
        <v>131</v>
      </c>
      <c r="J142" s="14"/>
      <c r="K142" s="14"/>
      <c r="L142" s="14"/>
      <c r="M142" s="14"/>
      <c r="N142" s="44">
        <v>0</v>
      </c>
      <c r="O142" s="44"/>
      <c r="GJ142" s="4">
        <v>128</v>
      </c>
      <c r="GK142" s="4">
        <v>2</v>
      </c>
      <c r="GL142" s="4">
        <v>25</v>
      </c>
      <c r="GP142" s="4">
        <v>67</v>
      </c>
      <c r="GQ142" s="4">
        <v>15</v>
      </c>
      <c r="GT142" s="4">
        <v>5</v>
      </c>
      <c r="GU142" s="4">
        <v>1</v>
      </c>
      <c r="IT142" s="4">
        <v>72</v>
      </c>
      <c r="IU142" s="4" t="s">
        <v>138</v>
      </c>
    </row>
    <row r="143" spans="9:255" x14ac:dyDescent="0.25">
      <c r="I143" s="14"/>
      <c r="J143" s="14"/>
      <c r="K143" s="14"/>
      <c r="L143" s="14"/>
      <c r="M143" s="14"/>
      <c r="N143" s="44"/>
      <c r="O143" s="44"/>
      <c r="GJ143" s="4">
        <v>129</v>
      </c>
      <c r="GK143" s="4">
        <v>2</v>
      </c>
      <c r="GL143" s="4">
        <v>25</v>
      </c>
      <c r="GP143" s="4">
        <v>68</v>
      </c>
      <c r="GQ143" s="4">
        <v>15</v>
      </c>
      <c r="GT143" s="4">
        <v>6</v>
      </c>
      <c r="GU143" s="4">
        <v>1</v>
      </c>
      <c r="IT143" s="4">
        <v>73</v>
      </c>
      <c r="IU143" s="4" t="s">
        <v>138</v>
      </c>
    </row>
    <row r="144" spans="9:255" x14ac:dyDescent="0.25">
      <c r="GJ144" s="4">
        <v>130</v>
      </c>
      <c r="GK144" s="4">
        <v>2</v>
      </c>
      <c r="GL144" s="4">
        <v>25</v>
      </c>
      <c r="GP144" s="4">
        <v>69</v>
      </c>
      <c r="GQ144" s="4">
        <v>15</v>
      </c>
      <c r="GT144" s="4">
        <v>7</v>
      </c>
      <c r="GU144" s="4">
        <v>1</v>
      </c>
      <c r="IT144" s="4">
        <v>74</v>
      </c>
      <c r="IU144" s="4" t="s">
        <v>138</v>
      </c>
    </row>
    <row r="145" spans="192:255" x14ac:dyDescent="0.25">
      <c r="GJ145" s="4">
        <v>131</v>
      </c>
      <c r="GK145" s="4">
        <v>2</v>
      </c>
      <c r="GL145" s="4">
        <v>25</v>
      </c>
      <c r="GP145" s="4">
        <v>70</v>
      </c>
      <c r="GQ145" s="4">
        <v>15</v>
      </c>
      <c r="GT145" s="4">
        <v>8</v>
      </c>
      <c r="GU145" s="4">
        <v>1</v>
      </c>
      <c r="IT145" s="4">
        <v>75</v>
      </c>
      <c r="IU145" s="4" t="s">
        <v>139</v>
      </c>
    </row>
    <row r="146" spans="192:255" x14ac:dyDescent="0.25">
      <c r="GJ146" s="4">
        <v>132</v>
      </c>
      <c r="GK146" s="4">
        <v>2</v>
      </c>
      <c r="GL146" s="4">
        <v>25</v>
      </c>
      <c r="GT146" s="4">
        <v>9</v>
      </c>
      <c r="GU146" s="4">
        <v>1</v>
      </c>
      <c r="IT146" s="4">
        <v>76</v>
      </c>
      <c r="IU146" s="4" t="s">
        <v>139</v>
      </c>
    </row>
    <row r="147" spans="192:255" x14ac:dyDescent="0.25">
      <c r="GJ147" s="4">
        <v>133</v>
      </c>
      <c r="GK147" s="4">
        <v>2</v>
      </c>
      <c r="GL147" s="4">
        <v>25</v>
      </c>
      <c r="GT147" s="4">
        <v>10</v>
      </c>
      <c r="GU147" s="4">
        <v>1</v>
      </c>
      <c r="IT147" s="4">
        <v>77</v>
      </c>
      <c r="IU147" s="4" t="s">
        <v>139</v>
      </c>
    </row>
    <row r="148" spans="192:255" x14ac:dyDescent="0.25">
      <c r="GJ148" s="4">
        <v>134</v>
      </c>
      <c r="GK148" s="4">
        <v>2</v>
      </c>
      <c r="GL148" s="4">
        <v>25</v>
      </c>
      <c r="GT148" s="4">
        <v>11</v>
      </c>
      <c r="GU148" s="4">
        <v>1</v>
      </c>
      <c r="IT148" s="4">
        <v>78</v>
      </c>
      <c r="IU148" s="4" t="s">
        <v>139</v>
      </c>
    </row>
    <row r="149" spans="192:255" x14ac:dyDescent="0.25">
      <c r="GJ149" s="4">
        <v>135</v>
      </c>
      <c r="GK149" s="4">
        <v>2</v>
      </c>
      <c r="GL149" s="4">
        <v>25</v>
      </c>
      <c r="GT149" s="4">
        <v>12</v>
      </c>
      <c r="GU149" s="4">
        <v>1</v>
      </c>
      <c r="IT149" s="4">
        <v>79</v>
      </c>
      <c r="IU149" s="4" t="s">
        <v>139</v>
      </c>
    </row>
    <row r="150" spans="192:255" x14ac:dyDescent="0.25">
      <c r="GJ150" s="4">
        <v>136</v>
      </c>
      <c r="GK150" s="4">
        <v>2</v>
      </c>
      <c r="GL150" s="4">
        <v>25</v>
      </c>
      <c r="GT150" s="4">
        <v>13</v>
      </c>
      <c r="GU150" s="4">
        <v>1</v>
      </c>
      <c r="IT150" s="4">
        <v>80</v>
      </c>
      <c r="IU150" s="4" t="s">
        <v>139</v>
      </c>
    </row>
    <row r="151" spans="192:255" x14ac:dyDescent="0.25">
      <c r="GJ151" s="4">
        <v>137</v>
      </c>
      <c r="GK151" s="4">
        <v>2</v>
      </c>
      <c r="GL151" s="4">
        <v>25</v>
      </c>
      <c r="GT151" s="4">
        <v>14</v>
      </c>
      <c r="GU151" s="4">
        <v>1</v>
      </c>
      <c r="IT151" s="4">
        <v>81</v>
      </c>
      <c r="IU151" s="4" t="s">
        <v>139</v>
      </c>
    </row>
    <row r="152" spans="192:255" x14ac:dyDescent="0.25">
      <c r="GJ152" s="4">
        <v>138</v>
      </c>
      <c r="GK152" s="4">
        <v>2</v>
      </c>
      <c r="GL152" s="4">
        <v>25</v>
      </c>
      <c r="GT152" s="4">
        <v>15</v>
      </c>
      <c r="GU152" s="4">
        <v>2</v>
      </c>
      <c r="IT152" s="4">
        <v>82</v>
      </c>
      <c r="IU152" s="4" t="s">
        <v>139</v>
      </c>
    </row>
    <row r="153" spans="192:255" x14ac:dyDescent="0.25">
      <c r="GJ153" s="4">
        <v>139</v>
      </c>
      <c r="GK153" s="4">
        <v>2</v>
      </c>
      <c r="GL153" s="4">
        <v>25</v>
      </c>
      <c r="GT153" s="4">
        <v>16</v>
      </c>
      <c r="GU153" s="4">
        <v>2</v>
      </c>
      <c r="IT153" s="4">
        <v>83</v>
      </c>
      <c r="IU153" s="4" t="s">
        <v>139</v>
      </c>
    </row>
    <row r="154" spans="192:255" x14ac:dyDescent="0.25">
      <c r="GJ154" s="4">
        <v>140</v>
      </c>
      <c r="GK154" s="4">
        <v>2</v>
      </c>
      <c r="GL154" s="4">
        <v>25</v>
      </c>
      <c r="GT154" s="4">
        <v>17</v>
      </c>
      <c r="GU154" s="4">
        <v>2</v>
      </c>
      <c r="IT154" s="4">
        <v>84</v>
      </c>
      <c r="IU154" s="4" t="s">
        <v>139</v>
      </c>
    </row>
    <row r="155" spans="192:255" x14ac:dyDescent="0.25">
      <c r="GJ155" s="4">
        <v>141</v>
      </c>
      <c r="GK155" s="4">
        <v>2</v>
      </c>
      <c r="GL155" s="4">
        <v>25</v>
      </c>
      <c r="GT155" s="4">
        <v>18</v>
      </c>
      <c r="GU155" s="4">
        <v>2</v>
      </c>
      <c r="IT155" s="4">
        <v>85</v>
      </c>
      <c r="IU155" s="4" t="s">
        <v>140</v>
      </c>
    </row>
    <row r="156" spans="192:255" x14ac:dyDescent="0.25">
      <c r="GJ156" s="4">
        <v>142</v>
      </c>
      <c r="GK156" s="4">
        <v>2</v>
      </c>
      <c r="GL156" s="4">
        <v>25</v>
      </c>
      <c r="GT156" s="4">
        <v>19</v>
      </c>
      <c r="GU156" s="4">
        <v>2</v>
      </c>
      <c r="IT156" s="4">
        <v>86</v>
      </c>
      <c r="IU156" s="4" t="s">
        <v>140</v>
      </c>
    </row>
    <row r="157" spans="192:255" x14ac:dyDescent="0.25">
      <c r="GJ157" s="4">
        <v>143</v>
      </c>
      <c r="GK157" s="4">
        <v>2</v>
      </c>
      <c r="GL157" s="4">
        <v>25</v>
      </c>
      <c r="GT157" s="4">
        <v>20</v>
      </c>
      <c r="GU157" s="4">
        <v>2</v>
      </c>
      <c r="IT157" s="4">
        <v>87</v>
      </c>
      <c r="IU157" s="4" t="s">
        <v>140</v>
      </c>
    </row>
    <row r="158" spans="192:255" x14ac:dyDescent="0.25">
      <c r="GJ158" s="4">
        <v>144</v>
      </c>
      <c r="GK158" s="4">
        <v>2</v>
      </c>
      <c r="GL158" s="4">
        <v>25</v>
      </c>
      <c r="GT158" s="4">
        <v>21</v>
      </c>
      <c r="GU158" s="4">
        <v>2</v>
      </c>
      <c r="IT158" s="4">
        <v>88</v>
      </c>
      <c r="IU158" s="4" t="s">
        <v>140</v>
      </c>
    </row>
    <row r="159" spans="192:255" x14ac:dyDescent="0.25">
      <c r="GJ159" s="4">
        <v>145</v>
      </c>
      <c r="GK159" s="4">
        <v>2</v>
      </c>
      <c r="GL159" s="4">
        <v>25</v>
      </c>
      <c r="GT159" s="4">
        <v>22</v>
      </c>
      <c r="GU159" s="4">
        <v>2</v>
      </c>
      <c r="IT159" s="4">
        <v>89</v>
      </c>
      <c r="IU159" s="4" t="s">
        <v>140</v>
      </c>
    </row>
    <row r="160" spans="192:255" x14ac:dyDescent="0.25">
      <c r="GJ160" s="4">
        <v>146</v>
      </c>
      <c r="GK160" s="4">
        <v>2</v>
      </c>
      <c r="GL160" s="4">
        <v>25</v>
      </c>
      <c r="GT160" s="4">
        <v>23</v>
      </c>
      <c r="GU160" s="4">
        <v>2</v>
      </c>
      <c r="IT160" s="4">
        <v>90</v>
      </c>
      <c r="IU160" s="4" t="s">
        <v>140</v>
      </c>
    </row>
    <row r="161" spans="192:255" x14ac:dyDescent="0.25">
      <c r="GJ161" s="4">
        <v>147</v>
      </c>
      <c r="GK161" s="4">
        <v>2</v>
      </c>
      <c r="GL161" s="4">
        <v>25</v>
      </c>
      <c r="GT161" s="4">
        <v>24</v>
      </c>
      <c r="GU161" s="4">
        <v>2</v>
      </c>
      <c r="IT161" s="4">
        <v>91</v>
      </c>
      <c r="IU161" s="4" t="s">
        <v>140</v>
      </c>
    </row>
    <row r="162" spans="192:255" x14ac:dyDescent="0.25">
      <c r="GJ162" s="4">
        <v>148</v>
      </c>
      <c r="GK162" s="4">
        <v>2</v>
      </c>
      <c r="GL162" s="4">
        <v>25</v>
      </c>
      <c r="GT162" s="4">
        <v>25</v>
      </c>
      <c r="GU162" s="4">
        <v>3</v>
      </c>
      <c r="IT162" s="4">
        <v>92</v>
      </c>
      <c r="IU162" s="4" t="s">
        <v>140</v>
      </c>
    </row>
    <row r="163" spans="192:255" x14ac:dyDescent="0.25">
      <c r="GJ163" s="4">
        <v>149</v>
      </c>
      <c r="GK163" s="4">
        <v>2</v>
      </c>
      <c r="GL163" s="4">
        <v>25</v>
      </c>
      <c r="GT163" s="4">
        <v>26</v>
      </c>
      <c r="GU163" s="4">
        <v>3</v>
      </c>
      <c r="IT163" s="4">
        <v>93</v>
      </c>
      <c r="IU163" s="4" t="s">
        <v>140</v>
      </c>
    </row>
    <row r="164" spans="192:255" x14ac:dyDescent="0.25">
      <c r="GJ164" s="4">
        <v>150</v>
      </c>
      <c r="GK164" s="4">
        <v>2</v>
      </c>
      <c r="GL164" s="4">
        <v>25</v>
      </c>
      <c r="GT164" s="4">
        <v>27</v>
      </c>
      <c r="GU164" s="4">
        <v>3</v>
      </c>
      <c r="IT164" s="4">
        <v>94</v>
      </c>
      <c r="IU164" s="4" t="s">
        <v>140</v>
      </c>
    </row>
    <row r="165" spans="192:255" x14ac:dyDescent="0.25">
      <c r="GJ165" s="4">
        <v>151</v>
      </c>
      <c r="GK165" s="4">
        <v>2</v>
      </c>
      <c r="GL165" s="4">
        <v>25</v>
      </c>
      <c r="GT165" s="4">
        <v>28</v>
      </c>
      <c r="GU165" s="4">
        <v>3</v>
      </c>
      <c r="IT165" s="4">
        <v>95</v>
      </c>
      <c r="IU165" s="4" t="s">
        <v>140</v>
      </c>
    </row>
    <row r="166" spans="192:255" x14ac:dyDescent="0.25">
      <c r="GJ166" s="4">
        <v>152</v>
      </c>
      <c r="GK166" s="4">
        <v>2</v>
      </c>
      <c r="GL166" s="4">
        <v>25</v>
      </c>
      <c r="GT166" s="4">
        <v>29</v>
      </c>
      <c r="GU166" s="4">
        <v>3</v>
      </c>
      <c r="IT166" s="4">
        <v>96</v>
      </c>
      <c r="IU166" s="4" t="s">
        <v>140</v>
      </c>
    </row>
    <row r="167" spans="192:255" x14ac:dyDescent="0.25">
      <c r="GJ167" s="4">
        <v>153</v>
      </c>
      <c r="GK167" s="4">
        <v>2</v>
      </c>
      <c r="GL167" s="4">
        <v>25</v>
      </c>
      <c r="GT167" s="4">
        <v>30</v>
      </c>
      <c r="GU167" s="4">
        <v>3</v>
      </c>
      <c r="IT167" s="4">
        <v>97</v>
      </c>
      <c r="IU167" s="4" t="s">
        <v>140</v>
      </c>
    </row>
    <row r="168" spans="192:255" x14ac:dyDescent="0.25">
      <c r="GJ168" s="4">
        <v>154</v>
      </c>
      <c r="GK168" s="4">
        <v>2</v>
      </c>
      <c r="GL168" s="4">
        <v>25</v>
      </c>
      <c r="GT168" s="4">
        <v>31</v>
      </c>
      <c r="GU168" s="4">
        <v>3</v>
      </c>
      <c r="IT168" s="4">
        <v>98</v>
      </c>
      <c r="IU168" s="4" t="s">
        <v>140</v>
      </c>
    </row>
    <row r="169" spans="192:255" x14ac:dyDescent="0.25">
      <c r="GJ169" s="4">
        <v>155</v>
      </c>
      <c r="GK169" s="4">
        <v>2</v>
      </c>
      <c r="GL169" s="4">
        <v>25</v>
      </c>
      <c r="GT169" s="4">
        <v>32</v>
      </c>
      <c r="GU169" s="4">
        <v>3</v>
      </c>
      <c r="IT169" s="4">
        <v>99</v>
      </c>
      <c r="IU169" s="4" t="s">
        <v>140</v>
      </c>
    </row>
    <row r="170" spans="192:255" x14ac:dyDescent="0.25">
      <c r="GJ170" s="4">
        <v>156</v>
      </c>
      <c r="GK170" s="4">
        <v>2</v>
      </c>
      <c r="GL170" s="4">
        <v>25</v>
      </c>
      <c r="GT170" s="4">
        <v>33</v>
      </c>
      <c r="GU170" s="4">
        <v>3</v>
      </c>
      <c r="IT170" s="4">
        <v>100</v>
      </c>
      <c r="IU170" s="4" t="s">
        <v>140</v>
      </c>
    </row>
    <row r="171" spans="192:255" x14ac:dyDescent="0.25">
      <c r="GJ171" s="4">
        <v>157</v>
      </c>
      <c r="GK171" s="4">
        <v>2</v>
      </c>
      <c r="GL171" s="4">
        <v>25</v>
      </c>
      <c r="GT171" s="4">
        <v>34</v>
      </c>
      <c r="GU171" s="4">
        <v>3</v>
      </c>
      <c r="IT171" s="4">
        <v>101</v>
      </c>
      <c r="IU171" s="4" t="s">
        <v>140</v>
      </c>
    </row>
    <row r="172" spans="192:255" x14ac:dyDescent="0.25">
      <c r="GJ172" s="4">
        <v>158</v>
      </c>
      <c r="GK172" s="4">
        <v>2</v>
      </c>
      <c r="GL172" s="4">
        <v>25</v>
      </c>
      <c r="GT172" s="4">
        <v>35</v>
      </c>
      <c r="GU172" s="4">
        <v>4</v>
      </c>
      <c r="IT172" s="4">
        <v>102</v>
      </c>
      <c r="IU172" s="4" t="s">
        <v>140</v>
      </c>
    </row>
    <row r="173" spans="192:255" x14ac:dyDescent="0.25">
      <c r="GJ173" s="4">
        <v>159</v>
      </c>
      <c r="GK173" s="4">
        <v>2</v>
      </c>
      <c r="GL173" s="4">
        <v>25</v>
      </c>
      <c r="GT173" s="4">
        <v>36</v>
      </c>
      <c r="GU173" s="4">
        <v>4</v>
      </c>
      <c r="IT173" s="4">
        <v>103</v>
      </c>
      <c r="IU173" s="4" t="s">
        <v>140</v>
      </c>
    </row>
    <row r="174" spans="192:255" x14ac:dyDescent="0.25">
      <c r="GJ174" s="4">
        <v>160</v>
      </c>
      <c r="GK174" s="4">
        <v>2</v>
      </c>
      <c r="GL174" s="4">
        <v>25</v>
      </c>
      <c r="GT174" s="4">
        <v>37</v>
      </c>
      <c r="GU174" s="4">
        <v>4</v>
      </c>
      <c r="IT174" s="4">
        <v>104</v>
      </c>
      <c r="IU174" s="4" t="s">
        <v>140</v>
      </c>
    </row>
    <row r="175" spans="192:255" x14ac:dyDescent="0.25">
      <c r="GJ175" s="4">
        <v>161</v>
      </c>
      <c r="GK175" s="4">
        <v>2</v>
      </c>
      <c r="GL175" s="4">
        <v>25</v>
      </c>
      <c r="GT175" s="4">
        <v>38</v>
      </c>
      <c r="GU175" s="4">
        <v>4</v>
      </c>
      <c r="IT175" s="4">
        <v>105</v>
      </c>
      <c r="IU175" s="4" t="s">
        <v>140</v>
      </c>
    </row>
    <row r="176" spans="192:255" x14ac:dyDescent="0.25">
      <c r="GJ176" s="4">
        <v>162</v>
      </c>
      <c r="GK176" s="4">
        <v>2</v>
      </c>
      <c r="GL176" s="4">
        <v>25</v>
      </c>
      <c r="GT176" s="4">
        <v>39</v>
      </c>
      <c r="GU176" s="4">
        <v>4</v>
      </c>
      <c r="IT176" s="4">
        <v>106</v>
      </c>
      <c r="IU176" s="4" t="s">
        <v>140</v>
      </c>
    </row>
    <row r="177" spans="192:255" x14ac:dyDescent="0.25">
      <c r="GJ177" s="4">
        <v>163</v>
      </c>
      <c r="GK177" s="4">
        <v>2</v>
      </c>
      <c r="GL177" s="4">
        <v>25</v>
      </c>
      <c r="GT177" s="4">
        <v>40</v>
      </c>
      <c r="GU177" s="4">
        <v>4</v>
      </c>
      <c r="IT177" s="4">
        <v>107</v>
      </c>
      <c r="IU177" s="4" t="s">
        <v>140</v>
      </c>
    </row>
    <row r="178" spans="192:255" x14ac:dyDescent="0.25">
      <c r="GJ178" s="4">
        <v>164</v>
      </c>
      <c r="GK178" s="4">
        <v>2</v>
      </c>
      <c r="GL178" s="4">
        <v>25</v>
      </c>
      <c r="GT178" s="4">
        <v>41</v>
      </c>
      <c r="GU178" s="4">
        <v>4</v>
      </c>
      <c r="IT178" s="4">
        <v>108</v>
      </c>
      <c r="IU178" s="4" t="s">
        <v>140</v>
      </c>
    </row>
    <row r="179" spans="192:255" x14ac:dyDescent="0.25">
      <c r="GJ179" s="4">
        <v>165</v>
      </c>
      <c r="GK179" s="4">
        <v>2</v>
      </c>
      <c r="GL179" s="4">
        <v>25</v>
      </c>
      <c r="GT179" s="4">
        <v>42</v>
      </c>
      <c r="GU179" s="4">
        <v>4</v>
      </c>
      <c r="IT179" s="4">
        <v>109</v>
      </c>
      <c r="IU179" s="4" t="s">
        <v>140</v>
      </c>
    </row>
    <row r="180" spans="192:255" x14ac:dyDescent="0.25">
      <c r="GJ180" s="4">
        <v>166</v>
      </c>
      <c r="GK180" s="4">
        <v>2</v>
      </c>
      <c r="GL180" s="4">
        <v>25</v>
      </c>
      <c r="GT180" s="4">
        <v>43</v>
      </c>
      <c r="GU180" s="4">
        <v>4</v>
      </c>
      <c r="IT180" s="4">
        <v>110</v>
      </c>
      <c r="IU180" s="4" t="s">
        <v>140</v>
      </c>
    </row>
    <row r="181" spans="192:255" x14ac:dyDescent="0.25">
      <c r="GJ181" s="4">
        <v>167</v>
      </c>
      <c r="GK181" s="4">
        <v>2</v>
      </c>
      <c r="GL181" s="4">
        <v>25</v>
      </c>
      <c r="GT181" s="4">
        <v>44</v>
      </c>
      <c r="GU181" s="4">
        <v>4</v>
      </c>
      <c r="IT181" s="4">
        <v>111</v>
      </c>
      <c r="IU181" s="4" t="s">
        <v>140</v>
      </c>
    </row>
    <row r="182" spans="192:255" x14ac:dyDescent="0.25">
      <c r="GJ182" s="4">
        <v>168</v>
      </c>
      <c r="GK182" s="4">
        <v>2</v>
      </c>
      <c r="GL182" s="4">
        <v>25</v>
      </c>
      <c r="GT182" s="4">
        <v>45</v>
      </c>
      <c r="GU182" s="4">
        <v>5</v>
      </c>
      <c r="IT182" s="4">
        <v>112</v>
      </c>
      <c r="IU182" s="4" t="s">
        <v>140</v>
      </c>
    </row>
    <row r="183" spans="192:255" x14ac:dyDescent="0.25">
      <c r="GJ183" s="4">
        <v>169</v>
      </c>
      <c r="GK183" s="4">
        <v>2</v>
      </c>
      <c r="GL183" s="4">
        <v>25</v>
      </c>
      <c r="GT183" s="4">
        <v>46</v>
      </c>
      <c r="GU183" s="4">
        <v>5</v>
      </c>
      <c r="IT183" s="4">
        <v>113</v>
      </c>
      <c r="IU183" s="4" t="s">
        <v>140</v>
      </c>
    </row>
    <row r="184" spans="192:255" x14ac:dyDescent="0.25">
      <c r="GJ184" s="4">
        <v>170</v>
      </c>
      <c r="GK184" s="4">
        <v>2</v>
      </c>
      <c r="GL184" s="4">
        <v>25</v>
      </c>
      <c r="GT184" s="4">
        <v>47</v>
      </c>
      <c r="GU184" s="4">
        <v>5</v>
      </c>
      <c r="IT184" s="4">
        <v>114</v>
      </c>
      <c r="IU184" s="4" t="s">
        <v>140</v>
      </c>
    </row>
    <row r="185" spans="192:255" x14ac:dyDescent="0.25">
      <c r="GJ185" s="4">
        <v>171</v>
      </c>
      <c r="GK185" s="4">
        <v>2</v>
      </c>
      <c r="GL185" s="4">
        <v>25</v>
      </c>
      <c r="GT185" s="4">
        <v>48</v>
      </c>
      <c r="GU185" s="4">
        <v>5</v>
      </c>
      <c r="IT185" s="4">
        <v>115</v>
      </c>
      <c r="IU185" s="4" t="s">
        <v>140</v>
      </c>
    </row>
    <row r="186" spans="192:255" x14ac:dyDescent="0.25">
      <c r="GJ186" s="4">
        <v>172</v>
      </c>
      <c r="GK186" s="4">
        <v>2</v>
      </c>
      <c r="GL186" s="4">
        <v>25</v>
      </c>
      <c r="GT186" s="4">
        <v>49</v>
      </c>
      <c r="GU186" s="4">
        <v>5</v>
      </c>
    </row>
    <row r="187" spans="192:255" x14ac:dyDescent="0.25">
      <c r="GJ187" s="4">
        <v>173</v>
      </c>
      <c r="GK187" s="4">
        <v>2</v>
      </c>
      <c r="GL187" s="4">
        <v>25</v>
      </c>
      <c r="GT187" s="4">
        <v>50</v>
      </c>
      <c r="GU187" s="4">
        <v>5</v>
      </c>
    </row>
    <row r="188" spans="192:255" x14ac:dyDescent="0.25">
      <c r="GJ188" s="4">
        <v>174</v>
      </c>
      <c r="GK188" s="4">
        <v>2</v>
      </c>
      <c r="GL188" s="4">
        <v>25</v>
      </c>
      <c r="GT188" s="4">
        <v>51</v>
      </c>
      <c r="GU188" s="4">
        <v>5</v>
      </c>
    </row>
    <row r="189" spans="192:255" x14ac:dyDescent="0.25">
      <c r="GJ189" s="4">
        <v>175</v>
      </c>
      <c r="GK189" s="4">
        <v>2</v>
      </c>
      <c r="GL189" s="4">
        <v>25</v>
      </c>
      <c r="GT189" s="4">
        <v>52</v>
      </c>
      <c r="GU189" s="4">
        <v>5</v>
      </c>
    </row>
    <row r="190" spans="192:255" x14ac:dyDescent="0.25">
      <c r="GJ190" s="4">
        <v>176</v>
      </c>
      <c r="GK190" s="4">
        <v>2</v>
      </c>
      <c r="GL190" s="4">
        <v>25</v>
      </c>
      <c r="GT190" s="4">
        <v>53</v>
      </c>
      <c r="GU190" s="4">
        <v>5</v>
      </c>
    </row>
    <row r="191" spans="192:255" x14ac:dyDescent="0.25">
      <c r="GJ191" s="4">
        <v>177</v>
      </c>
      <c r="GK191" s="4">
        <v>2</v>
      </c>
      <c r="GL191" s="4">
        <v>25</v>
      </c>
      <c r="GT191" s="4">
        <v>54</v>
      </c>
      <c r="GU191" s="4">
        <v>5</v>
      </c>
    </row>
    <row r="192" spans="192:255" x14ac:dyDescent="0.25">
      <c r="GJ192" s="4">
        <v>178</v>
      </c>
      <c r="GK192" s="4">
        <v>2</v>
      </c>
      <c r="GL192" s="4">
        <v>25</v>
      </c>
      <c r="GT192" s="4">
        <v>55</v>
      </c>
      <c r="GU192" s="4">
        <v>6</v>
      </c>
    </row>
    <row r="193" spans="192:203" x14ac:dyDescent="0.25">
      <c r="GJ193" s="4">
        <v>179</v>
      </c>
      <c r="GK193" s="4">
        <v>2</v>
      </c>
      <c r="GL193" s="4">
        <v>25</v>
      </c>
      <c r="GT193" s="4">
        <v>56</v>
      </c>
      <c r="GU193" s="4">
        <v>6</v>
      </c>
    </row>
    <row r="194" spans="192:203" x14ac:dyDescent="0.25">
      <c r="GJ194" s="4">
        <v>180</v>
      </c>
      <c r="GK194" s="4">
        <v>2</v>
      </c>
      <c r="GL194" s="4">
        <v>25</v>
      </c>
      <c r="GT194" s="4">
        <v>57</v>
      </c>
      <c r="GU194" s="4">
        <v>6</v>
      </c>
    </row>
    <row r="195" spans="192:203" x14ac:dyDescent="0.25">
      <c r="GJ195" s="4">
        <v>181</v>
      </c>
      <c r="GK195" s="4">
        <v>2</v>
      </c>
      <c r="GL195" s="4">
        <v>25</v>
      </c>
      <c r="GT195" s="4">
        <v>58</v>
      </c>
      <c r="GU195" s="4">
        <v>6</v>
      </c>
    </row>
    <row r="196" spans="192:203" x14ac:dyDescent="0.25">
      <c r="GJ196" s="4">
        <v>182</v>
      </c>
      <c r="GK196" s="4">
        <v>2</v>
      </c>
      <c r="GL196" s="4">
        <v>25</v>
      </c>
      <c r="GT196" s="4">
        <v>59</v>
      </c>
      <c r="GU196" s="4">
        <v>6</v>
      </c>
    </row>
    <row r="197" spans="192:203" x14ac:dyDescent="0.25">
      <c r="GJ197" s="4">
        <v>183</v>
      </c>
      <c r="GK197" s="4">
        <v>2</v>
      </c>
      <c r="GL197" s="4">
        <v>25</v>
      </c>
      <c r="GT197" s="4">
        <v>60</v>
      </c>
      <c r="GU197" s="4">
        <v>6</v>
      </c>
    </row>
    <row r="198" spans="192:203" x14ac:dyDescent="0.25">
      <c r="GJ198" s="4">
        <v>184</v>
      </c>
      <c r="GK198" s="4">
        <v>2</v>
      </c>
      <c r="GL198" s="4">
        <v>25</v>
      </c>
      <c r="GT198" s="4">
        <v>61</v>
      </c>
      <c r="GU198" s="4">
        <v>6</v>
      </c>
    </row>
    <row r="199" spans="192:203" x14ac:dyDescent="0.25">
      <c r="GJ199" s="4">
        <v>185</v>
      </c>
      <c r="GK199" s="4">
        <v>2</v>
      </c>
      <c r="GL199" s="4">
        <v>25</v>
      </c>
      <c r="GT199" s="4">
        <v>62</v>
      </c>
      <c r="GU199" s="4">
        <v>6</v>
      </c>
    </row>
    <row r="200" spans="192:203" x14ac:dyDescent="0.25">
      <c r="GJ200" s="4">
        <v>186</v>
      </c>
      <c r="GK200" s="4">
        <v>2</v>
      </c>
      <c r="GL200" s="4">
        <v>25</v>
      </c>
      <c r="GT200" s="4">
        <v>63</v>
      </c>
      <c r="GU200" s="4">
        <v>6</v>
      </c>
    </row>
    <row r="201" spans="192:203" x14ac:dyDescent="0.25">
      <c r="GJ201" s="4">
        <v>187</v>
      </c>
      <c r="GK201" s="4">
        <v>2</v>
      </c>
      <c r="GL201" s="4">
        <v>25</v>
      </c>
      <c r="GT201" s="4">
        <v>64</v>
      </c>
      <c r="GU201" s="4">
        <v>6</v>
      </c>
    </row>
    <row r="202" spans="192:203" x14ac:dyDescent="0.25">
      <c r="GJ202" s="4">
        <v>188</v>
      </c>
      <c r="GK202" s="4">
        <v>2</v>
      </c>
      <c r="GL202" s="4">
        <v>25</v>
      </c>
      <c r="GT202" s="4">
        <v>65</v>
      </c>
      <c r="GU202" s="4">
        <v>7</v>
      </c>
    </row>
    <row r="203" spans="192:203" x14ac:dyDescent="0.25">
      <c r="GJ203" s="4">
        <v>189</v>
      </c>
      <c r="GK203" s="4">
        <v>2</v>
      </c>
      <c r="GL203" s="4">
        <v>25</v>
      </c>
      <c r="GT203" s="4">
        <v>66</v>
      </c>
      <c r="GU203" s="4">
        <v>7</v>
      </c>
    </row>
    <row r="204" spans="192:203" x14ac:dyDescent="0.25">
      <c r="GJ204" s="4">
        <v>190</v>
      </c>
      <c r="GK204" s="4">
        <v>2</v>
      </c>
      <c r="GL204" s="4">
        <v>25</v>
      </c>
      <c r="GT204" s="4">
        <v>67</v>
      </c>
      <c r="GU204" s="4">
        <v>7</v>
      </c>
    </row>
    <row r="205" spans="192:203" x14ac:dyDescent="0.25">
      <c r="GJ205" s="4">
        <v>191</v>
      </c>
      <c r="GK205" s="4">
        <v>2</v>
      </c>
      <c r="GL205" s="4">
        <v>25</v>
      </c>
      <c r="GT205" s="4">
        <v>68</v>
      </c>
      <c r="GU205" s="4">
        <v>7</v>
      </c>
    </row>
    <row r="206" spans="192:203" x14ac:dyDescent="0.25">
      <c r="GJ206" s="4">
        <v>192</v>
      </c>
      <c r="GK206" s="4">
        <v>2</v>
      </c>
      <c r="GL206" s="4">
        <v>25</v>
      </c>
      <c r="GT206" s="4">
        <v>69</v>
      </c>
      <c r="GU206" s="4">
        <v>7</v>
      </c>
    </row>
    <row r="207" spans="192:203" x14ac:dyDescent="0.25">
      <c r="GJ207" s="4">
        <v>193</v>
      </c>
      <c r="GK207" s="4">
        <v>2</v>
      </c>
      <c r="GL207" s="4">
        <v>25</v>
      </c>
      <c r="GT207" s="4">
        <v>70</v>
      </c>
      <c r="GU207" s="4">
        <v>7</v>
      </c>
    </row>
    <row r="208" spans="192:203" x14ac:dyDescent="0.25">
      <c r="GJ208" s="4">
        <v>194</v>
      </c>
      <c r="GK208" s="4">
        <v>2</v>
      </c>
      <c r="GL208" s="4">
        <v>25</v>
      </c>
      <c r="GT208" s="4">
        <v>71</v>
      </c>
      <c r="GU208" s="4">
        <v>7</v>
      </c>
    </row>
    <row r="209" spans="192:203" x14ac:dyDescent="0.25">
      <c r="GJ209" s="4">
        <v>195</v>
      </c>
      <c r="GK209" s="4">
        <v>2</v>
      </c>
      <c r="GL209" s="4">
        <v>25</v>
      </c>
      <c r="GT209" s="4">
        <v>72</v>
      </c>
      <c r="GU209" s="4">
        <v>7</v>
      </c>
    </row>
    <row r="210" spans="192:203" x14ac:dyDescent="0.25">
      <c r="GJ210" s="4">
        <v>196</v>
      </c>
      <c r="GK210" s="4">
        <v>2</v>
      </c>
      <c r="GL210" s="4">
        <v>25</v>
      </c>
      <c r="GT210" s="4">
        <v>73</v>
      </c>
      <c r="GU210" s="4">
        <v>7</v>
      </c>
    </row>
    <row r="211" spans="192:203" x14ac:dyDescent="0.25">
      <c r="GJ211" s="4">
        <v>197</v>
      </c>
      <c r="GK211" s="4">
        <v>2</v>
      </c>
      <c r="GL211" s="4">
        <v>25</v>
      </c>
      <c r="GT211" s="4">
        <v>74</v>
      </c>
      <c r="GU211" s="4">
        <v>7</v>
      </c>
    </row>
    <row r="212" spans="192:203" x14ac:dyDescent="0.25">
      <c r="GJ212" s="4">
        <v>198</v>
      </c>
      <c r="GK212" s="4">
        <v>2</v>
      </c>
      <c r="GL212" s="4">
        <v>25</v>
      </c>
      <c r="GT212" s="4">
        <v>75</v>
      </c>
      <c r="GU212" s="4">
        <v>7</v>
      </c>
    </row>
    <row r="213" spans="192:203" x14ac:dyDescent="0.25">
      <c r="GJ213" s="4">
        <v>199</v>
      </c>
      <c r="GK213" s="4">
        <v>2</v>
      </c>
      <c r="GL213" s="4">
        <v>25</v>
      </c>
      <c r="GT213" s="4">
        <v>76</v>
      </c>
      <c r="GU213" s="4">
        <v>7</v>
      </c>
    </row>
    <row r="214" spans="192:203" x14ac:dyDescent="0.25">
      <c r="GJ214" s="4">
        <v>200</v>
      </c>
      <c r="GK214" s="4">
        <v>2</v>
      </c>
      <c r="GL214" s="4">
        <v>25</v>
      </c>
      <c r="GT214" s="4">
        <v>77</v>
      </c>
      <c r="GU214" s="4">
        <v>7</v>
      </c>
    </row>
    <row r="215" spans="192:203" x14ac:dyDescent="0.25">
      <c r="GJ215" s="4">
        <v>201</v>
      </c>
      <c r="GK215" s="4">
        <v>2</v>
      </c>
      <c r="GL215" s="4">
        <v>25</v>
      </c>
      <c r="GT215" s="4">
        <v>78</v>
      </c>
      <c r="GU215" s="4">
        <v>7</v>
      </c>
    </row>
    <row r="216" spans="192:203" x14ac:dyDescent="0.25">
      <c r="GJ216" s="4">
        <v>202</v>
      </c>
      <c r="GK216" s="4">
        <v>2</v>
      </c>
      <c r="GL216" s="4">
        <v>25</v>
      </c>
      <c r="GT216" s="4">
        <v>79</v>
      </c>
      <c r="GU216" s="4">
        <v>7</v>
      </c>
    </row>
    <row r="217" spans="192:203" x14ac:dyDescent="0.25">
      <c r="GJ217" s="4">
        <v>203</v>
      </c>
      <c r="GK217" s="4">
        <v>2</v>
      </c>
      <c r="GL217" s="4">
        <v>24</v>
      </c>
      <c r="GT217" s="4">
        <v>80</v>
      </c>
      <c r="GU217" s="4">
        <v>7</v>
      </c>
    </row>
    <row r="218" spans="192:203" x14ac:dyDescent="0.25">
      <c r="GJ218" s="4">
        <v>204</v>
      </c>
      <c r="GK218" s="4">
        <v>2</v>
      </c>
      <c r="GL218" s="4">
        <v>24</v>
      </c>
      <c r="GT218" s="4">
        <v>81</v>
      </c>
      <c r="GU218" s="4">
        <v>7</v>
      </c>
    </row>
    <row r="219" spans="192:203" x14ac:dyDescent="0.25">
      <c r="GJ219" s="4">
        <v>205</v>
      </c>
      <c r="GK219" s="4">
        <v>2</v>
      </c>
      <c r="GL219" s="4">
        <v>24</v>
      </c>
      <c r="GT219" s="4">
        <v>82</v>
      </c>
      <c r="GU219" s="4">
        <v>7</v>
      </c>
    </row>
    <row r="220" spans="192:203" x14ac:dyDescent="0.25">
      <c r="GJ220" s="4">
        <v>206</v>
      </c>
      <c r="GK220" s="4">
        <v>2</v>
      </c>
      <c r="GL220" s="4">
        <v>23</v>
      </c>
      <c r="GT220" s="4">
        <v>83</v>
      </c>
      <c r="GU220" s="4">
        <v>7</v>
      </c>
    </row>
    <row r="221" spans="192:203" x14ac:dyDescent="0.25">
      <c r="GJ221" s="4">
        <v>207</v>
      </c>
      <c r="GK221" s="4">
        <v>2</v>
      </c>
      <c r="GL221" s="4">
        <v>23</v>
      </c>
      <c r="GT221" s="4">
        <v>84</v>
      </c>
      <c r="GU221" s="4">
        <v>7</v>
      </c>
    </row>
    <row r="222" spans="192:203" x14ac:dyDescent="0.25">
      <c r="GJ222" s="4">
        <v>208</v>
      </c>
      <c r="GK222" s="4">
        <v>2</v>
      </c>
      <c r="GL222" s="4">
        <v>23</v>
      </c>
      <c r="GT222" s="4">
        <v>85</v>
      </c>
      <c r="GU222" s="4">
        <v>7</v>
      </c>
    </row>
    <row r="223" spans="192:203" x14ac:dyDescent="0.25">
      <c r="GJ223" s="4">
        <v>209</v>
      </c>
      <c r="GK223" s="4">
        <v>2</v>
      </c>
      <c r="GL223" s="4">
        <v>22</v>
      </c>
      <c r="GT223" s="4">
        <v>86</v>
      </c>
      <c r="GU223" s="4">
        <v>7</v>
      </c>
    </row>
    <row r="224" spans="192:203" x14ac:dyDescent="0.25">
      <c r="GJ224" s="4">
        <v>210</v>
      </c>
      <c r="GK224" s="4">
        <v>4</v>
      </c>
      <c r="GL224" s="4">
        <v>22</v>
      </c>
      <c r="GT224" s="4">
        <v>87</v>
      </c>
      <c r="GU224" s="4">
        <v>7</v>
      </c>
    </row>
    <row r="225" spans="192:203" x14ac:dyDescent="0.25">
      <c r="GJ225" s="4">
        <v>211</v>
      </c>
      <c r="GK225" s="4">
        <v>4</v>
      </c>
      <c r="GL225" s="4">
        <v>22</v>
      </c>
      <c r="GT225" s="4">
        <v>88</v>
      </c>
      <c r="GU225" s="4">
        <v>7</v>
      </c>
    </row>
    <row r="226" spans="192:203" x14ac:dyDescent="0.25">
      <c r="GJ226" s="4">
        <v>212</v>
      </c>
      <c r="GK226" s="4">
        <v>4</v>
      </c>
      <c r="GL226" s="4">
        <v>21</v>
      </c>
      <c r="GT226" s="4">
        <v>89</v>
      </c>
      <c r="GU226" s="4">
        <v>7</v>
      </c>
    </row>
    <row r="227" spans="192:203" x14ac:dyDescent="0.25">
      <c r="GJ227" s="4">
        <v>213</v>
      </c>
      <c r="GK227" s="4">
        <v>4</v>
      </c>
      <c r="GL227" s="4">
        <v>21</v>
      </c>
      <c r="GT227" s="4">
        <v>90</v>
      </c>
      <c r="GU227" s="4">
        <v>7</v>
      </c>
    </row>
    <row r="228" spans="192:203" x14ac:dyDescent="0.25">
      <c r="GJ228" s="4">
        <v>214</v>
      </c>
      <c r="GK228" s="4">
        <v>4</v>
      </c>
      <c r="GL228" s="4">
        <v>21</v>
      </c>
      <c r="GT228" s="4">
        <v>91</v>
      </c>
      <c r="GU228" s="4">
        <v>7</v>
      </c>
    </row>
    <row r="229" spans="192:203" x14ac:dyDescent="0.25">
      <c r="GJ229" s="4">
        <v>215</v>
      </c>
      <c r="GK229" s="4">
        <v>4</v>
      </c>
      <c r="GL229" s="4">
        <v>20</v>
      </c>
      <c r="GT229" s="4">
        <v>92</v>
      </c>
      <c r="GU229" s="4">
        <v>7</v>
      </c>
    </row>
    <row r="230" spans="192:203" x14ac:dyDescent="0.25">
      <c r="GJ230" s="4">
        <v>216</v>
      </c>
      <c r="GK230" s="4">
        <v>4</v>
      </c>
      <c r="GL230" s="4">
        <v>20</v>
      </c>
      <c r="GT230" s="4">
        <v>93</v>
      </c>
      <c r="GU230" s="4">
        <v>7</v>
      </c>
    </row>
    <row r="231" spans="192:203" x14ac:dyDescent="0.25">
      <c r="GJ231" s="4">
        <v>217</v>
      </c>
      <c r="GK231" s="4">
        <v>4</v>
      </c>
      <c r="GL231" s="4">
        <v>20</v>
      </c>
      <c r="GT231" s="4">
        <v>94</v>
      </c>
      <c r="GU231" s="4">
        <v>7</v>
      </c>
    </row>
    <row r="232" spans="192:203" x14ac:dyDescent="0.25">
      <c r="GJ232" s="4">
        <v>218</v>
      </c>
      <c r="GK232" s="4">
        <v>4</v>
      </c>
      <c r="GL232" s="4">
        <v>19</v>
      </c>
      <c r="GT232" s="4">
        <v>95</v>
      </c>
      <c r="GU232" s="4">
        <v>7</v>
      </c>
    </row>
    <row r="233" spans="192:203" x14ac:dyDescent="0.25">
      <c r="GJ233" s="4">
        <v>219</v>
      </c>
      <c r="GK233" s="4">
        <v>4</v>
      </c>
      <c r="GL233" s="4">
        <v>19</v>
      </c>
      <c r="GT233" s="4">
        <v>96</v>
      </c>
      <c r="GU233" s="4">
        <v>7</v>
      </c>
    </row>
    <row r="234" spans="192:203" x14ac:dyDescent="0.25">
      <c r="GJ234" s="4">
        <v>220</v>
      </c>
      <c r="GK234" s="4">
        <v>7</v>
      </c>
      <c r="GL234" s="4">
        <v>19</v>
      </c>
      <c r="GT234" s="4">
        <v>97</v>
      </c>
      <c r="GU234" s="4">
        <v>7</v>
      </c>
    </row>
    <row r="235" spans="192:203" x14ac:dyDescent="0.25">
      <c r="GJ235" s="4">
        <v>221</v>
      </c>
      <c r="GK235" s="4">
        <v>7</v>
      </c>
      <c r="GL235" s="4">
        <v>18</v>
      </c>
      <c r="GT235" s="4">
        <v>98</v>
      </c>
      <c r="GU235" s="4">
        <v>7</v>
      </c>
    </row>
    <row r="236" spans="192:203" x14ac:dyDescent="0.25">
      <c r="GJ236" s="4">
        <v>222</v>
      </c>
      <c r="GK236" s="4">
        <v>7</v>
      </c>
      <c r="GL236" s="4">
        <v>18</v>
      </c>
      <c r="GT236" s="4">
        <v>99</v>
      </c>
      <c r="GU236" s="4">
        <v>7</v>
      </c>
    </row>
    <row r="237" spans="192:203" x14ac:dyDescent="0.25">
      <c r="GJ237" s="4">
        <v>223</v>
      </c>
      <c r="GK237" s="4">
        <v>7</v>
      </c>
      <c r="GL237" s="4">
        <v>18</v>
      </c>
      <c r="GT237" s="4">
        <v>100</v>
      </c>
      <c r="GU237" s="4">
        <v>7</v>
      </c>
    </row>
    <row r="238" spans="192:203" x14ac:dyDescent="0.25">
      <c r="GJ238" s="4">
        <v>224</v>
      </c>
      <c r="GK238" s="4">
        <v>7</v>
      </c>
      <c r="GL238" s="4">
        <v>17</v>
      </c>
    </row>
    <row r="239" spans="192:203" x14ac:dyDescent="0.25">
      <c r="GJ239" s="4">
        <v>225</v>
      </c>
      <c r="GK239" s="4">
        <v>7</v>
      </c>
      <c r="GL239" s="4">
        <v>17</v>
      </c>
    </row>
    <row r="240" spans="192:203" x14ac:dyDescent="0.25">
      <c r="GJ240" s="4">
        <v>226</v>
      </c>
      <c r="GK240" s="4">
        <v>7</v>
      </c>
      <c r="GL240" s="4">
        <v>17</v>
      </c>
    </row>
    <row r="241" spans="192:194" x14ac:dyDescent="0.25">
      <c r="GJ241" s="4">
        <v>227</v>
      </c>
      <c r="GK241" s="4">
        <v>7</v>
      </c>
      <c r="GL241" s="4">
        <v>16</v>
      </c>
    </row>
    <row r="242" spans="192:194" x14ac:dyDescent="0.25">
      <c r="GJ242" s="4">
        <v>228</v>
      </c>
      <c r="GK242" s="4">
        <v>7</v>
      </c>
      <c r="GL242" s="4">
        <v>16</v>
      </c>
    </row>
    <row r="243" spans="192:194" x14ac:dyDescent="0.25">
      <c r="GJ243" s="4">
        <v>229</v>
      </c>
      <c r="GK243" s="4">
        <v>7</v>
      </c>
      <c r="GL243" s="4">
        <v>16</v>
      </c>
    </row>
    <row r="244" spans="192:194" x14ac:dyDescent="0.25">
      <c r="GJ244" s="4">
        <v>230</v>
      </c>
      <c r="GK244" s="4">
        <v>12</v>
      </c>
      <c r="GL244" s="4">
        <v>15</v>
      </c>
    </row>
    <row r="245" spans="192:194" x14ac:dyDescent="0.25">
      <c r="GJ245" s="4">
        <v>231</v>
      </c>
      <c r="GK245" s="4">
        <v>12</v>
      </c>
      <c r="GL245" s="4">
        <v>15</v>
      </c>
    </row>
    <row r="246" spans="192:194" x14ac:dyDescent="0.25">
      <c r="GJ246" s="4">
        <v>232</v>
      </c>
      <c r="GK246" s="4">
        <v>12</v>
      </c>
      <c r="GL246" s="4">
        <v>15</v>
      </c>
    </row>
    <row r="247" spans="192:194" x14ac:dyDescent="0.25">
      <c r="GJ247" s="4">
        <v>233</v>
      </c>
      <c r="GK247" s="4">
        <v>12</v>
      </c>
      <c r="GL247" s="4">
        <v>14</v>
      </c>
    </row>
    <row r="248" spans="192:194" x14ac:dyDescent="0.25">
      <c r="GJ248" s="4">
        <v>234</v>
      </c>
      <c r="GK248" s="4">
        <v>12</v>
      </c>
      <c r="GL248" s="4">
        <v>14</v>
      </c>
    </row>
    <row r="249" spans="192:194" x14ac:dyDescent="0.25">
      <c r="GJ249" s="4">
        <v>235</v>
      </c>
      <c r="GK249" s="4">
        <v>12</v>
      </c>
      <c r="GL249" s="4">
        <v>14</v>
      </c>
    </row>
    <row r="250" spans="192:194" x14ac:dyDescent="0.25">
      <c r="GJ250" s="4">
        <v>236</v>
      </c>
      <c r="GK250" s="4">
        <v>12</v>
      </c>
      <c r="GL250" s="4">
        <v>13</v>
      </c>
    </row>
    <row r="251" spans="192:194" x14ac:dyDescent="0.25">
      <c r="GJ251" s="4">
        <v>237</v>
      </c>
      <c r="GK251" s="4">
        <v>12</v>
      </c>
      <c r="GL251" s="4">
        <v>13</v>
      </c>
    </row>
    <row r="252" spans="192:194" x14ac:dyDescent="0.25">
      <c r="GJ252" s="4">
        <v>238</v>
      </c>
      <c r="GK252" s="4">
        <v>12</v>
      </c>
      <c r="GL252" s="4">
        <v>13</v>
      </c>
    </row>
    <row r="253" spans="192:194" x14ac:dyDescent="0.25">
      <c r="GJ253" s="4">
        <v>239</v>
      </c>
      <c r="GK253" s="4">
        <v>12</v>
      </c>
      <c r="GL253" s="4">
        <v>12</v>
      </c>
    </row>
    <row r="254" spans="192:194" x14ac:dyDescent="0.25">
      <c r="GJ254" s="4">
        <v>240</v>
      </c>
      <c r="GK254" s="4">
        <v>17</v>
      </c>
      <c r="GL254" s="4">
        <v>12</v>
      </c>
    </row>
    <row r="255" spans="192:194" x14ac:dyDescent="0.25">
      <c r="GJ255" s="4">
        <v>241</v>
      </c>
      <c r="GK255" s="4">
        <v>17</v>
      </c>
      <c r="GL255" s="4">
        <v>12</v>
      </c>
    </row>
    <row r="256" spans="192:194" x14ac:dyDescent="0.25">
      <c r="GJ256" s="4">
        <v>242</v>
      </c>
      <c r="GK256" s="4">
        <v>17</v>
      </c>
      <c r="GL256" s="4">
        <v>11</v>
      </c>
    </row>
    <row r="257" spans="192:194" x14ac:dyDescent="0.25">
      <c r="GJ257" s="4">
        <v>243</v>
      </c>
      <c r="GK257" s="4">
        <v>17</v>
      </c>
      <c r="GL257" s="4">
        <v>11</v>
      </c>
    </row>
    <row r="258" spans="192:194" x14ac:dyDescent="0.25">
      <c r="GJ258" s="4">
        <v>244</v>
      </c>
      <c r="GK258" s="4">
        <v>17</v>
      </c>
      <c r="GL258" s="4">
        <v>11</v>
      </c>
    </row>
    <row r="259" spans="192:194" x14ac:dyDescent="0.25">
      <c r="GJ259" s="4">
        <v>245</v>
      </c>
      <c r="GK259" s="4">
        <v>17</v>
      </c>
      <c r="GL259" s="4">
        <v>10</v>
      </c>
    </row>
    <row r="260" spans="192:194" x14ac:dyDescent="0.25">
      <c r="GJ260" s="4">
        <v>246</v>
      </c>
      <c r="GK260" s="4">
        <v>17</v>
      </c>
      <c r="GL260" s="4">
        <v>10</v>
      </c>
    </row>
    <row r="261" spans="192:194" x14ac:dyDescent="0.25">
      <c r="GJ261" s="4">
        <v>247</v>
      </c>
      <c r="GK261" s="4">
        <v>17</v>
      </c>
      <c r="GL261" s="4">
        <v>10</v>
      </c>
    </row>
    <row r="262" spans="192:194" x14ac:dyDescent="0.25">
      <c r="GJ262" s="4">
        <v>248</v>
      </c>
      <c r="GK262" s="4">
        <v>17</v>
      </c>
      <c r="GL262" s="4">
        <v>9</v>
      </c>
    </row>
    <row r="263" spans="192:194" x14ac:dyDescent="0.25">
      <c r="GJ263" s="4">
        <v>249</v>
      </c>
      <c r="GK263" s="4">
        <v>17</v>
      </c>
      <c r="GL263" s="4">
        <v>9</v>
      </c>
    </row>
    <row r="264" spans="192:194" x14ac:dyDescent="0.25">
      <c r="GJ264" s="4">
        <v>250</v>
      </c>
      <c r="GK264" s="4">
        <v>26</v>
      </c>
      <c r="GL264" s="4">
        <v>9</v>
      </c>
    </row>
    <row r="265" spans="192:194" x14ac:dyDescent="0.25">
      <c r="GJ265" s="4">
        <v>251</v>
      </c>
      <c r="GK265" s="4">
        <v>26</v>
      </c>
      <c r="GL265" s="4">
        <v>8</v>
      </c>
    </row>
    <row r="266" spans="192:194" x14ac:dyDescent="0.25">
      <c r="GJ266" s="4">
        <v>252</v>
      </c>
      <c r="GK266" s="4">
        <v>26</v>
      </c>
      <c r="GL266" s="4">
        <v>8</v>
      </c>
    </row>
    <row r="267" spans="192:194" x14ac:dyDescent="0.25">
      <c r="GJ267" s="4">
        <v>253</v>
      </c>
      <c r="GK267" s="4">
        <v>26</v>
      </c>
      <c r="GL267" s="4">
        <v>8</v>
      </c>
    </row>
    <row r="268" spans="192:194" x14ac:dyDescent="0.25">
      <c r="GJ268" s="4">
        <v>254</v>
      </c>
      <c r="GK268" s="4">
        <v>26</v>
      </c>
      <c r="GL268" s="4">
        <v>7</v>
      </c>
    </row>
    <row r="269" spans="192:194" x14ac:dyDescent="0.25">
      <c r="GJ269" s="4">
        <v>255</v>
      </c>
      <c r="GK269" s="4">
        <v>26</v>
      </c>
      <c r="GL269" s="4">
        <v>7</v>
      </c>
    </row>
    <row r="270" spans="192:194" x14ac:dyDescent="0.25">
      <c r="GJ270" s="4">
        <v>256</v>
      </c>
      <c r="GK270" s="4">
        <v>26</v>
      </c>
      <c r="GL270" s="4">
        <v>7</v>
      </c>
    </row>
    <row r="271" spans="192:194" x14ac:dyDescent="0.25">
      <c r="GJ271" s="4">
        <v>257</v>
      </c>
      <c r="GK271" s="4">
        <v>26</v>
      </c>
      <c r="GL271" s="4">
        <v>6</v>
      </c>
    </row>
    <row r="272" spans="192:194" x14ac:dyDescent="0.25">
      <c r="GJ272" s="4">
        <v>258</v>
      </c>
      <c r="GK272" s="4">
        <v>26</v>
      </c>
      <c r="GL272" s="4">
        <v>6</v>
      </c>
    </row>
    <row r="273" spans="192:194" x14ac:dyDescent="0.25">
      <c r="GJ273" s="4">
        <v>259</v>
      </c>
      <c r="GK273" s="4">
        <v>26</v>
      </c>
      <c r="GL273" s="4">
        <v>6</v>
      </c>
    </row>
    <row r="274" spans="192:194" x14ac:dyDescent="0.25">
      <c r="GJ274" s="4">
        <v>260</v>
      </c>
      <c r="GK274" s="4">
        <v>34</v>
      </c>
      <c r="GL274" s="4">
        <v>5</v>
      </c>
    </row>
    <row r="275" spans="192:194" x14ac:dyDescent="0.25">
      <c r="GJ275" s="4">
        <v>261</v>
      </c>
      <c r="GK275" s="4">
        <v>34</v>
      </c>
      <c r="GL275" s="4">
        <v>5</v>
      </c>
    </row>
    <row r="276" spans="192:194" x14ac:dyDescent="0.25">
      <c r="GJ276" s="4">
        <v>262</v>
      </c>
      <c r="GK276" s="4">
        <v>34</v>
      </c>
      <c r="GL276" s="4">
        <v>5</v>
      </c>
    </row>
    <row r="277" spans="192:194" x14ac:dyDescent="0.25">
      <c r="GJ277" s="4">
        <v>263</v>
      </c>
      <c r="GK277" s="4">
        <v>34</v>
      </c>
      <c r="GL277" s="4">
        <v>4</v>
      </c>
    </row>
    <row r="278" spans="192:194" x14ac:dyDescent="0.25">
      <c r="GJ278" s="4">
        <v>264</v>
      </c>
      <c r="GK278" s="4">
        <v>34</v>
      </c>
      <c r="GL278" s="4">
        <v>4</v>
      </c>
    </row>
    <row r="279" spans="192:194" x14ac:dyDescent="0.25">
      <c r="GJ279" s="4">
        <v>265</v>
      </c>
      <c r="GK279" s="4">
        <v>34</v>
      </c>
      <c r="GL279" s="4">
        <v>4</v>
      </c>
    </row>
    <row r="280" spans="192:194" x14ac:dyDescent="0.25">
      <c r="GJ280" s="4">
        <v>266</v>
      </c>
      <c r="GK280" s="4">
        <v>34</v>
      </c>
      <c r="GL280" s="4">
        <v>3</v>
      </c>
    </row>
    <row r="281" spans="192:194" x14ac:dyDescent="0.25">
      <c r="GJ281" s="4">
        <v>267</v>
      </c>
      <c r="GK281" s="4">
        <v>34</v>
      </c>
      <c r="GL281" s="4">
        <v>3</v>
      </c>
    </row>
    <row r="282" spans="192:194" x14ac:dyDescent="0.25">
      <c r="GJ282" s="4">
        <v>268</v>
      </c>
      <c r="GK282" s="4">
        <v>34</v>
      </c>
      <c r="GL282" s="4">
        <v>3</v>
      </c>
    </row>
    <row r="283" spans="192:194" x14ac:dyDescent="0.25">
      <c r="GJ283" s="4">
        <v>269</v>
      </c>
      <c r="GK283" s="4">
        <v>34</v>
      </c>
      <c r="GL283" s="4">
        <v>2</v>
      </c>
    </row>
    <row r="284" spans="192:194" x14ac:dyDescent="0.25">
      <c r="GJ284" s="4">
        <v>270</v>
      </c>
      <c r="GK284" s="4">
        <v>37</v>
      </c>
      <c r="GL284" s="4">
        <v>2</v>
      </c>
    </row>
    <row r="285" spans="192:194" x14ac:dyDescent="0.25">
      <c r="GJ285" s="4">
        <v>271</v>
      </c>
      <c r="GK285" s="4">
        <v>37</v>
      </c>
      <c r="GL285" s="4">
        <v>2</v>
      </c>
    </row>
    <row r="286" spans="192:194" x14ac:dyDescent="0.25">
      <c r="GJ286" s="4">
        <v>272</v>
      </c>
      <c r="GK286" s="4">
        <v>37</v>
      </c>
      <c r="GL286" s="4">
        <v>1</v>
      </c>
    </row>
    <row r="287" spans="192:194" x14ac:dyDescent="0.25">
      <c r="GJ287" s="4">
        <v>273</v>
      </c>
      <c r="GK287" s="4">
        <v>37</v>
      </c>
      <c r="GL287" s="4">
        <v>1</v>
      </c>
    </row>
    <row r="288" spans="192:194" x14ac:dyDescent="0.25">
      <c r="GJ288" s="4">
        <v>274</v>
      </c>
      <c r="GK288" s="4">
        <v>37</v>
      </c>
      <c r="GL288" s="4">
        <v>1</v>
      </c>
    </row>
    <row r="289" spans="192:194" x14ac:dyDescent="0.25">
      <c r="GJ289" s="4">
        <v>275</v>
      </c>
      <c r="GK289" s="4">
        <v>37</v>
      </c>
      <c r="GL289" s="4">
        <v>0</v>
      </c>
    </row>
    <row r="290" spans="192:194" x14ac:dyDescent="0.25">
      <c r="GJ290" s="4">
        <v>276</v>
      </c>
      <c r="GK290" s="4">
        <v>37</v>
      </c>
      <c r="GL290" s="4">
        <v>0</v>
      </c>
    </row>
    <row r="291" spans="192:194" x14ac:dyDescent="0.25">
      <c r="GJ291" s="4">
        <v>277</v>
      </c>
      <c r="GK291" s="4">
        <v>37</v>
      </c>
      <c r="GL291" s="4">
        <v>0</v>
      </c>
    </row>
    <row r="292" spans="192:194" x14ac:dyDescent="0.25">
      <c r="GJ292" s="4">
        <v>278</v>
      </c>
      <c r="GK292" s="4">
        <v>37</v>
      </c>
      <c r="GL292" s="4">
        <v>0</v>
      </c>
    </row>
    <row r="293" spans="192:194" x14ac:dyDescent="0.25">
      <c r="GJ293" s="4">
        <v>279</v>
      </c>
      <c r="GK293" s="4">
        <v>37</v>
      </c>
      <c r="GL293" s="4">
        <v>0</v>
      </c>
    </row>
    <row r="294" spans="192:194" x14ac:dyDescent="0.25">
      <c r="GJ294" s="4">
        <v>280</v>
      </c>
      <c r="GK294" s="4">
        <v>41</v>
      </c>
      <c r="GL294" s="4">
        <v>0</v>
      </c>
    </row>
    <row r="295" spans="192:194" x14ac:dyDescent="0.25">
      <c r="GJ295" s="4">
        <v>281</v>
      </c>
      <c r="GK295" s="4">
        <v>41</v>
      </c>
      <c r="GL295" s="4">
        <v>0</v>
      </c>
    </row>
    <row r="296" spans="192:194" x14ac:dyDescent="0.25">
      <c r="GJ296" s="4">
        <v>282</v>
      </c>
      <c r="GK296" s="4">
        <v>41</v>
      </c>
      <c r="GL296" s="4">
        <v>0</v>
      </c>
    </row>
    <row r="297" spans="192:194" x14ac:dyDescent="0.25">
      <c r="GJ297" s="4">
        <v>283</v>
      </c>
      <c r="GK297" s="4">
        <v>41</v>
      </c>
      <c r="GL297" s="4">
        <v>0</v>
      </c>
    </row>
    <row r="298" spans="192:194" x14ac:dyDescent="0.25">
      <c r="GJ298" s="4">
        <v>284</v>
      </c>
      <c r="GK298" s="4">
        <v>41</v>
      </c>
      <c r="GL298" s="4">
        <v>0</v>
      </c>
    </row>
    <row r="299" spans="192:194" x14ac:dyDescent="0.25">
      <c r="GJ299" s="4">
        <v>285</v>
      </c>
      <c r="GK299" s="4">
        <v>41</v>
      </c>
      <c r="GL299" s="4">
        <v>0</v>
      </c>
    </row>
    <row r="300" spans="192:194" x14ac:dyDescent="0.25">
      <c r="GJ300" s="4">
        <v>286</v>
      </c>
      <c r="GK300" s="4">
        <v>41</v>
      </c>
      <c r="GL300" s="4">
        <v>0</v>
      </c>
    </row>
    <row r="301" spans="192:194" x14ac:dyDescent="0.25">
      <c r="GJ301" s="4">
        <v>287</v>
      </c>
      <c r="GK301" s="4">
        <v>41</v>
      </c>
      <c r="GL301" s="4">
        <v>0</v>
      </c>
    </row>
    <row r="302" spans="192:194" x14ac:dyDescent="0.25">
      <c r="GJ302" s="4">
        <v>288</v>
      </c>
      <c r="GK302" s="4">
        <v>41</v>
      </c>
      <c r="GL302" s="4">
        <v>0</v>
      </c>
    </row>
    <row r="303" spans="192:194" x14ac:dyDescent="0.25">
      <c r="GJ303" s="4">
        <v>289</v>
      </c>
      <c r="GK303" s="4">
        <v>41</v>
      </c>
      <c r="GL303" s="4">
        <v>0</v>
      </c>
    </row>
    <row r="304" spans="192:194" x14ac:dyDescent="0.25">
      <c r="GJ304" s="4">
        <v>290</v>
      </c>
      <c r="GK304" s="4">
        <v>44</v>
      </c>
      <c r="GL304" s="4">
        <v>0</v>
      </c>
    </row>
    <row r="305" spans="192:194" x14ac:dyDescent="0.25">
      <c r="GJ305" s="4">
        <v>291</v>
      </c>
      <c r="GK305" s="4">
        <v>44</v>
      </c>
      <c r="GL305" s="4">
        <v>0</v>
      </c>
    </row>
    <row r="306" spans="192:194" x14ac:dyDescent="0.25">
      <c r="GJ306" s="4">
        <v>292</v>
      </c>
      <c r="GK306" s="4">
        <v>44</v>
      </c>
      <c r="GL306" s="4">
        <v>0</v>
      </c>
    </row>
    <row r="307" spans="192:194" x14ac:dyDescent="0.25">
      <c r="GJ307" s="4">
        <v>293</v>
      </c>
      <c r="GK307" s="4">
        <v>44</v>
      </c>
      <c r="GL307" s="4">
        <v>0</v>
      </c>
    </row>
    <row r="308" spans="192:194" x14ac:dyDescent="0.25">
      <c r="GJ308" s="4">
        <v>294</v>
      </c>
      <c r="GK308" s="4">
        <v>44</v>
      </c>
      <c r="GL308" s="4">
        <v>0</v>
      </c>
    </row>
    <row r="309" spans="192:194" x14ac:dyDescent="0.25">
      <c r="GJ309" s="4">
        <v>295</v>
      </c>
      <c r="GK309" s="4">
        <v>44</v>
      </c>
      <c r="GL309" s="4">
        <v>0</v>
      </c>
    </row>
    <row r="310" spans="192:194" x14ac:dyDescent="0.25">
      <c r="GJ310" s="4">
        <v>296</v>
      </c>
      <c r="GK310" s="4">
        <v>44</v>
      </c>
      <c r="GL310" s="4">
        <v>0</v>
      </c>
    </row>
    <row r="311" spans="192:194" x14ac:dyDescent="0.25">
      <c r="GJ311" s="4">
        <v>297</v>
      </c>
      <c r="GK311" s="4">
        <v>44</v>
      </c>
      <c r="GL311" s="4">
        <v>0</v>
      </c>
    </row>
    <row r="312" spans="192:194" x14ac:dyDescent="0.25">
      <c r="GJ312" s="4">
        <v>298</v>
      </c>
      <c r="GK312" s="4">
        <v>44</v>
      </c>
      <c r="GL312" s="4">
        <v>0</v>
      </c>
    </row>
    <row r="313" spans="192:194" x14ac:dyDescent="0.25">
      <c r="GJ313" s="4">
        <v>299</v>
      </c>
      <c r="GK313" s="4">
        <v>44</v>
      </c>
      <c r="GL313" s="4">
        <v>0</v>
      </c>
    </row>
    <row r="314" spans="192:194" x14ac:dyDescent="0.25">
      <c r="GJ314" s="4">
        <v>300</v>
      </c>
      <c r="GK314" s="4">
        <v>47</v>
      </c>
      <c r="GL314" s="4">
        <v>0</v>
      </c>
    </row>
    <row r="315" spans="192:194" x14ac:dyDescent="0.25">
      <c r="GJ315" s="4">
        <v>301</v>
      </c>
      <c r="GK315" s="4">
        <v>47</v>
      </c>
      <c r="GL315" s="4">
        <v>0</v>
      </c>
    </row>
    <row r="316" spans="192:194" x14ac:dyDescent="0.25">
      <c r="GJ316" s="4">
        <v>302</v>
      </c>
      <c r="GK316" s="4">
        <v>47</v>
      </c>
      <c r="GL316" s="4">
        <v>0</v>
      </c>
    </row>
    <row r="317" spans="192:194" x14ac:dyDescent="0.25">
      <c r="GJ317" s="4">
        <v>303</v>
      </c>
      <c r="GK317" s="4">
        <v>47</v>
      </c>
      <c r="GL317" s="4">
        <v>0</v>
      </c>
    </row>
    <row r="318" spans="192:194" x14ac:dyDescent="0.25">
      <c r="GJ318" s="4">
        <v>304</v>
      </c>
      <c r="GK318" s="4">
        <v>47</v>
      </c>
      <c r="GL318" s="4">
        <v>0</v>
      </c>
    </row>
    <row r="319" spans="192:194" x14ac:dyDescent="0.25">
      <c r="GJ319" s="4">
        <v>305</v>
      </c>
      <c r="GK319" s="4">
        <v>47</v>
      </c>
      <c r="GL319" s="4">
        <v>0</v>
      </c>
    </row>
    <row r="320" spans="192:194" x14ac:dyDescent="0.25">
      <c r="GJ320" s="4">
        <v>306</v>
      </c>
      <c r="GK320" s="4">
        <v>47</v>
      </c>
      <c r="GL320" s="4">
        <v>0</v>
      </c>
    </row>
    <row r="321" spans="192:194" x14ac:dyDescent="0.25">
      <c r="GJ321" s="4">
        <v>307</v>
      </c>
      <c r="GK321" s="4">
        <v>47</v>
      </c>
      <c r="GL321" s="4">
        <v>0</v>
      </c>
    </row>
    <row r="322" spans="192:194" x14ac:dyDescent="0.25">
      <c r="GJ322" s="4">
        <v>308</v>
      </c>
      <c r="GK322" s="4">
        <v>47</v>
      </c>
      <c r="GL322" s="4">
        <v>0</v>
      </c>
    </row>
    <row r="323" spans="192:194" x14ac:dyDescent="0.25">
      <c r="GJ323" s="4">
        <v>309</v>
      </c>
      <c r="GK323" s="4">
        <v>47</v>
      </c>
      <c r="GL323" s="4">
        <v>0</v>
      </c>
    </row>
    <row r="324" spans="192:194" x14ac:dyDescent="0.25">
      <c r="GJ324" s="4">
        <v>310</v>
      </c>
      <c r="GK324" s="4">
        <v>50</v>
      </c>
      <c r="GL324" s="4">
        <v>0</v>
      </c>
    </row>
    <row r="325" spans="192:194" x14ac:dyDescent="0.25">
      <c r="GJ325" s="4">
        <v>311</v>
      </c>
      <c r="GK325" s="4">
        <v>50</v>
      </c>
      <c r="GL325" s="4">
        <v>0</v>
      </c>
    </row>
    <row r="326" spans="192:194" x14ac:dyDescent="0.25">
      <c r="GJ326" s="4">
        <v>312</v>
      </c>
      <c r="GK326" s="4">
        <v>50</v>
      </c>
      <c r="GL326" s="4">
        <v>0</v>
      </c>
    </row>
    <row r="327" spans="192:194" x14ac:dyDescent="0.25">
      <c r="GJ327" s="4">
        <v>313</v>
      </c>
      <c r="GK327" s="4">
        <v>50</v>
      </c>
      <c r="GL327" s="4">
        <v>0</v>
      </c>
    </row>
    <row r="328" spans="192:194" x14ac:dyDescent="0.25">
      <c r="GJ328" s="4">
        <v>314</v>
      </c>
      <c r="GK328" s="4">
        <v>50</v>
      </c>
      <c r="GL328" s="4">
        <v>0</v>
      </c>
    </row>
    <row r="329" spans="192:194" x14ac:dyDescent="0.25">
      <c r="GJ329" s="4">
        <v>315</v>
      </c>
      <c r="GK329" s="4">
        <v>50</v>
      </c>
      <c r="GL329" s="4">
        <v>0</v>
      </c>
    </row>
    <row r="330" spans="192:194" x14ac:dyDescent="0.25">
      <c r="GJ330" s="4">
        <v>316</v>
      </c>
      <c r="GK330" s="4">
        <v>50</v>
      </c>
      <c r="GL330" s="4">
        <v>0</v>
      </c>
    </row>
    <row r="331" spans="192:194" x14ac:dyDescent="0.25">
      <c r="GJ331" s="4">
        <v>317</v>
      </c>
      <c r="GK331" s="4">
        <v>50</v>
      </c>
      <c r="GL331" s="4">
        <v>0</v>
      </c>
    </row>
    <row r="332" spans="192:194" x14ac:dyDescent="0.25">
      <c r="GJ332" s="4">
        <v>318</v>
      </c>
      <c r="GK332" s="4">
        <v>50</v>
      </c>
      <c r="GL332" s="4">
        <v>0</v>
      </c>
    </row>
    <row r="333" spans="192:194" x14ac:dyDescent="0.25">
      <c r="GJ333" s="4">
        <v>319</v>
      </c>
      <c r="GK333" s="4">
        <v>50</v>
      </c>
      <c r="GL333" s="4">
        <v>0</v>
      </c>
    </row>
    <row r="334" spans="192:194" x14ac:dyDescent="0.25">
      <c r="GJ334" s="4">
        <v>320</v>
      </c>
      <c r="GK334" s="4">
        <v>53</v>
      </c>
      <c r="GL334" s="4">
        <v>0</v>
      </c>
    </row>
    <row r="335" spans="192:194" x14ac:dyDescent="0.25">
      <c r="GJ335" s="4">
        <v>321</v>
      </c>
      <c r="GK335" s="4">
        <v>53</v>
      </c>
      <c r="GL335" s="4">
        <v>0</v>
      </c>
    </row>
    <row r="336" spans="192:194" x14ac:dyDescent="0.25">
      <c r="GJ336" s="4">
        <v>322</v>
      </c>
      <c r="GK336" s="4">
        <v>53</v>
      </c>
      <c r="GL336" s="4">
        <v>0</v>
      </c>
    </row>
    <row r="337" spans="192:194" x14ac:dyDescent="0.25">
      <c r="GJ337" s="4">
        <v>323</v>
      </c>
      <c r="GK337" s="4">
        <v>53</v>
      </c>
      <c r="GL337" s="4">
        <v>0</v>
      </c>
    </row>
    <row r="338" spans="192:194" x14ac:dyDescent="0.25">
      <c r="GJ338" s="4">
        <v>324</v>
      </c>
      <c r="GK338" s="4">
        <v>53</v>
      </c>
      <c r="GL338" s="4">
        <v>0</v>
      </c>
    </row>
    <row r="339" spans="192:194" x14ac:dyDescent="0.25">
      <c r="GJ339" s="4">
        <v>325</v>
      </c>
      <c r="GK339" s="4">
        <v>53</v>
      </c>
      <c r="GL339" s="4">
        <v>0</v>
      </c>
    </row>
    <row r="340" spans="192:194" x14ac:dyDescent="0.25">
      <c r="GJ340" s="4">
        <v>326</v>
      </c>
      <c r="GK340" s="4">
        <v>53</v>
      </c>
      <c r="GL340" s="4">
        <v>0</v>
      </c>
    </row>
    <row r="341" spans="192:194" x14ac:dyDescent="0.25">
      <c r="GJ341" s="4">
        <v>327</v>
      </c>
      <c r="GK341" s="4">
        <v>53</v>
      </c>
      <c r="GL341" s="4">
        <v>0</v>
      </c>
    </row>
    <row r="342" spans="192:194" x14ac:dyDescent="0.25">
      <c r="GJ342" s="4">
        <v>328</v>
      </c>
      <c r="GK342" s="4">
        <v>53</v>
      </c>
      <c r="GL342" s="4">
        <v>0</v>
      </c>
    </row>
    <row r="343" spans="192:194" x14ac:dyDescent="0.25">
      <c r="GJ343" s="4">
        <v>329</v>
      </c>
      <c r="GK343" s="4">
        <v>53</v>
      </c>
      <c r="GL343" s="4">
        <v>0</v>
      </c>
    </row>
    <row r="344" spans="192:194" x14ac:dyDescent="0.25">
      <c r="GJ344" s="4">
        <v>330</v>
      </c>
      <c r="GK344" s="4">
        <v>56</v>
      </c>
      <c r="GL344" s="4">
        <v>0</v>
      </c>
    </row>
    <row r="345" spans="192:194" x14ac:dyDescent="0.25">
      <c r="GJ345" s="4">
        <v>331</v>
      </c>
      <c r="GK345" s="4">
        <v>56</v>
      </c>
      <c r="GL345" s="4">
        <v>0</v>
      </c>
    </row>
    <row r="346" spans="192:194" x14ac:dyDescent="0.25">
      <c r="GJ346" s="4">
        <v>332</v>
      </c>
      <c r="GK346" s="4">
        <v>56</v>
      </c>
      <c r="GL346" s="4">
        <v>0</v>
      </c>
    </row>
    <row r="347" spans="192:194" x14ac:dyDescent="0.25">
      <c r="GJ347" s="4">
        <v>333</v>
      </c>
      <c r="GK347" s="4">
        <v>56</v>
      </c>
      <c r="GL347" s="4">
        <v>0</v>
      </c>
    </row>
    <row r="348" spans="192:194" x14ac:dyDescent="0.25">
      <c r="GJ348" s="4">
        <v>334</v>
      </c>
      <c r="GK348" s="4">
        <v>56</v>
      </c>
      <c r="GL348" s="4">
        <v>0</v>
      </c>
    </row>
    <row r="349" spans="192:194" x14ac:dyDescent="0.25">
      <c r="GJ349" s="4">
        <v>335</v>
      </c>
      <c r="GK349" s="4">
        <v>56</v>
      </c>
      <c r="GL349" s="4">
        <v>0</v>
      </c>
    </row>
    <row r="350" spans="192:194" x14ac:dyDescent="0.25">
      <c r="GJ350" s="4">
        <v>336</v>
      </c>
      <c r="GK350" s="4">
        <v>56</v>
      </c>
      <c r="GL350" s="4">
        <v>0</v>
      </c>
    </row>
    <row r="351" spans="192:194" x14ac:dyDescent="0.25">
      <c r="GJ351" s="4">
        <v>337</v>
      </c>
      <c r="GK351" s="4">
        <v>56</v>
      </c>
      <c r="GL351" s="4">
        <v>0</v>
      </c>
    </row>
    <row r="352" spans="192:194" x14ac:dyDescent="0.25">
      <c r="GJ352" s="4">
        <v>338</v>
      </c>
      <c r="GK352" s="4">
        <v>56</v>
      </c>
      <c r="GL352" s="4">
        <v>0</v>
      </c>
    </row>
    <row r="353" spans="192:194" x14ac:dyDescent="0.25">
      <c r="GJ353" s="4">
        <v>339</v>
      </c>
      <c r="GK353" s="4">
        <v>56</v>
      </c>
      <c r="GL353" s="4">
        <v>0</v>
      </c>
    </row>
    <row r="354" spans="192:194" x14ac:dyDescent="0.25">
      <c r="GJ354" s="4">
        <v>340</v>
      </c>
      <c r="GK354" s="4">
        <v>59</v>
      </c>
      <c r="GL354" s="4">
        <v>0</v>
      </c>
    </row>
    <row r="355" spans="192:194" x14ac:dyDescent="0.25">
      <c r="GJ355" s="4">
        <v>341</v>
      </c>
      <c r="GK355" s="4">
        <v>59</v>
      </c>
      <c r="GL355" s="4">
        <v>0</v>
      </c>
    </row>
    <row r="356" spans="192:194" x14ac:dyDescent="0.25">
      <c r="GJ356" s="4">
        <v>342</v>
      </c>
      <c r="GK356" s="4">
        <v>59</v>
      </c>
      <c r="GL356" s="4">
        <v>0</v>
      </c>
    </row>
    <row r="357" spans="192:194" x14ac:dyDescent="0.25">
      <c r="GJ357" s="4">
        <v>343</v>
      </c>
      <c r="GK357" s="4">
        <v>59</v>
      </c>
      <c r="GL357" s="4">
        <v>0</v>
      </c>
    </row>
    <row r="358" spans="192:194" x14ac:dyDescent="0.25">
      <c r="GJ358" s="4">
        <v>344</v>
      </c>
      <c r="GK358" s="4">
        <v>59</v>
      </c>
      <c r="GL358" s="4">
        <v>0</v>
      </c>
    </row>
    <row r="359" spans="192:194" x14ac:dyDescent="0.25">
      <c r="GJ359" s="4">
        <v>345</v>
      </c>
      <c r="GK359" s="4">
        <v>59</v>
      </c>
      <c r="GL359" s="4">
        <v>0</v>
      </c>
    </row>
    <row r="360" spans="192:194" x14ac:dyDescent="0.25">
      <c r="GJ360" s="4">
        <v>346</v>
      </c>
      <c r="GK360" s="4">
        <v>59</v>
      </c>
      <c r="GL360" s="4">
        <v>0</v>
      </c>
    </row>
    <row r="361" spans="192:194" x14ac:dyDescent="0.25">
      <c r="GJ361" s="4">
        <v>347</v>
      </c>
      <c r="GK361" s="4">
        <v>59</v>
      </c>
      <c r="GL361" s="4">
        <v>0</v>
      </c>
    </row>
    <row r="362" spans="192:194" x14ac:dyDescent="0.25">
      <c r="GJ362" s="4">
        <v>348</v>
      </c>
      <c r="GK362" s="4">
        <v>59</v>
      </c>
      <c r="GL362" s="4">
        <v>0</v>
      </c>
    </row>
    <row r="363" spans="192:194" x14ac:dyDescent="0.25">
      <c r="GJ363" s="4">
        <v>349</v>
      </c>
      <c r="GK363" s="4">
        <v>59</v>
      </c>
      <c r="GL363" s="4">
        <v>0</v>
      </c>
    </row>
    <row r="364" spans="192:194" x14ac:dyDescent="0.25">
      <c r="GJ364" s="4">
        <v>350</v>
      </c>
      <c r="GK364" s="4">
        <v>62</v>
      </c>
      <c r="GL364" s="4">
        <v>0</v>
      </c>
    </row>
    <row r="365" spans="192:194" x14ac:dyDescent="0.25">
      <c r="GJ365" s="4">
        <v>351</v>
      </c>
      <c r="GK365" s="4">
        <v>62</v>
      </c>
      <c r="GL365" s="4">
        <v>0</v>
      </c>
    </row>
    <row r="366" spans="192:194" x14ac:dyDescent="0.25">
      <c r="GJ366" s="4">
        <v>352</v>
      </c>
      <c r="GK366" s="4">
        <v>62</v>
      </c>
      <c r="GL366" s="4">
        <v>0</v>
      </c>
    </row>
    <row r="367" spans="192:194" x14ac:dyDescent="0.25">
      <c r="GJ367" s="4">
        <v>353</v>
      </c>
      <c r="GK367" s="4">
        <v>62</v>
      </c>
      <c r="GL367" s="4">
        <v>0</v>
      </c>
    </row>
    <row r="368" spans="192:194" x14ac:dyDescent="0.25">
      <c r="GJ368" s="4">
        <v>354</v>
      </c>
      <c r="GK368" s="4">
        <v>62</v>
      </c>
      <c r="GL368" s="4">
        <v>0</v>
      </c>
    </row>
    <row r="369" spans="192:194" x14ac:dyDescent="0.25">
      <c r="GJ369" s="4">
        <v>355</v>
      </c>
      <c r="GK369" s="4">
        <v>62</v>
      </c>
      <c r="GL369" s="4">
        <v>0</v>
      </c>
    </row>
    <row r="370" spans="192:194" x14ac:dyDescent="0.25">
      <c r="GJ370" s="4">
        <v>356</v>
      </c>
      <c r="GK370" s="4">
        <v>62</v>
      </c>
      <c r="GL370" s="4">
        <v>0</v>
      </c>
    </row>
    <row r="371" spans="192:194" x14ac:dyDescent="0.25">
      <c r="GJ371" s="4">
        <v>357</v>
      </c>
      <c r="GK371" s="4">
        <v>62</v>
      </c>
      <c r="GL371" s="4">
        <v>0</v>
      </c>
    </row>
    <row r="372" spans="192:194" x14ac:dyDescent="0.25">
      <c r="GJ372" s="4">
        <v>358</v>
      </c>
      <c r="GK372" s="4">
        <v>62</v>
      </c>
      <c r="GL372" s="4">
        <v>0</v>
      </c>
    </row>
    <row r="373" spans="192:194" x14ac:dyDescent="0.25">
      <c r="GJ373" s="4">
        <v>359</v>
      </c>
      <c r="GK373" s="4">
        <v>62</v>
      </c>
      <c r="GL373" s="4">
        <v>0</v>
      </c>
    </row>
    <row r="374" spans="192:194" x14ac:dyDescent="0.25">
      <c r="GJ374" s="4">
        <v>360</v>
      </c>
      <c r="GK374" s="4">
        <v>64</v>
      </c>
      <c r="GL374" s="4">
        <v>0</v>
      </c>
    </row>
    <row r="375" spans="192:194" x14ac:dyDescent="0.25">
      <c r="GJ375" s="4">
        <v>361</v>
      </c>
      <c r="GK375" s="4">
        <v>64</v>
      </c>
      <c r="GL375" s="4">
        <v>0</v>
      </c>
    </row>
    <row r="376" spans="192:194" x14ac:dyDescent="0.25">
      <c r="GJ376" s="4">
        <v>362</v>
      </c>
      <c r="GK376" s="4">
        <v>64</v>
      </c>
      <c r="GL376" s="4">
        <v>0</v>
      </c>
    </row>
    <row r="377" spans="192:194" x14ac:dyDescent="0.25">
      <c r="GJ377" s="4">
        <v>363</v>
      </c>
      <c r="GK377" s="4">
        <v>64</v>
      </c>
      <c r="GL377" s="4">
        <v>0</v>
      </c>
    </row>
    <row r="378" spans="192:194" x14ac:dyDescent="0.25">
      <c r="GJ378" s="4">
        <v>364</v>
      </c>
      <c r="GK378" s="4">
        <v>64</v>
      </c>
      <c r="GL378" s="4">
        <v>0</v>
      </c>
    </row>
    <row r="379" spans="192:194" x14ac:dyDescent="0.25">
      <c r="GJ379" s="4">
        <v>365</v>
      </c>
      <c r="GK379" s="4">
        <v>64</v>
      </c>
      <c r="GL379" s="4">
        <v>0</v>
      </c>
    </row>
    <row r="380" spans="192:194" x14ac:dyDescent="0.25">
      <c r="GJ380" s="4">
        <v>366</v>
      </c>
      <c r="GK380" s="4">
        <v>64</v>
      </c>
      <c r="GL380" s="4">
        <v>0</v>
      </c>
    </row>
    <row r="381" spans="192:194" x14ac:dyDescent="0.25">
      <c r="GJ381" s="4">
        <v>367</v>
      </c>
      <c r="GK381" s="4">
        <v>64</v>
      </c>
      <c r="GL381" s="4">
        <v>0</v>
      </c>
    </row>
    <row r="382" spans="192:194" x14ac:dyDescent="0.25">
      <c r="GJ382" s="4">
        <v>368</v>
      </c>
      <c r="GK382" s="4">
        <v>64</v>
      </c>
      <c r="GL382" s="4">
        <v>0</v>
      </c>
    </row>
    <row r="383" spans="192:194" x14ac:dyDescent="0.25">
      <c r="GJ383" s="4">
        <v>369</v>
      </c>
      <c r="GK383" s="4">
        <v>64</v>
      </c>
      <c r="GL383" s="4">
        <v>0</v>
      </c>
    </row>
    <row r="384" spans="192:194" x14ac:dyDescent="0.25">
      <c r="GJ384" s="4">
        <v>370</v>
      </c>
      <c r="GK384" s="4">
        <v>66</v>
      </c>
      <c r="GL384" s="4">
        <v>0</v>
      </c>
    </row>
    <row r="385" spans="192:194" x14ac:dyDescent="0.25">
      <c r="GJ385" s="4">
        <v>371</v>
      </c>
      <c r="GK385" s="4">
        <v>66</v>
      </c>
      <c r="GL385" s="4">
        <v>0</v>
      </c>
    </row>
    <row r="386" spans="192:194" x14ac:dyDescent="0.25">
      <c r="GJ386" s="4">
        <v>372</v>
      </c>
      <c r="GK386" s="4">
        <v>66</v>
      </c>
      <c r="GL386" s="4">
        <v>0</v>
      </c>
    </row>
    <row r="387" spans="192:194" x14ac:dyDescent="0.25">
      <c r="GJ387" s="4">
        <v>373</v>
      </c>
      <c r="GK387" s="4">
        <v>66</v>
      </c>
      <c r="GL387" s="4">
        <v>0</v>
      </c>
    </row>
    <row r="388" spans="192:194" x14ac:dyDescent="0.25">
      <c r="GJ388" s="4">
        <v>374</v>
      </c>
      <c r="GK388" s="4">
        <v>66</v>
      </c>
      <c r="GL388" s="4">
        <v>0</v>
      </c>
    </row>
    <row r="389" spans="192:194" x14ac:dyDescent="0.25">
      <c r="GJ389" s="4">
        <v>375</v>
      </c>
      <c r="GK389" s="4">
        <v>66</v>
      </c>
      <c r="GL389" s="4">
        <v>0</v>
      </c>
    </row>
    <row r="390" spans="192:194" x14ac:dyDescent="0.25">
      <c r="GJ390" s="4">
        <v>376</v>
      </c>
      <c r="GK390" s="4">
        <v>66</v>
      </c>
      <c r="GL390" s="4">
        <v>0</v>
      </c>
    </row>
    <row r="391" spans="192:194" x14ac:dyDescent="0.25">
      <c r="GJ391" s="4">
        <v>377</v>
      </c>
      <c r="GK391" s="4">
        <v>66</v>
      </c>
      <c r="GL391" s="4">
        <v>0</v>
      </c>
    </row>
    <row r="392" spans="192:194" x14ac:dyDescent="0.25">
      <c r="GJ392" s="4">
        <v>378</v>
      </c>
      <c r="GK392" s="4">
        <v>66</v>
      </c>
      <c r="GL392" s="4">
        <v>0</v>
      </c>
    </row>
    <row r="393" spans="192:194" x14ac:dyDescent="0.25">
      <c r="GJ393" s="4">
        <v>379</v>
      </c>
      <c r="GK393" s="4">
        <v>66</v>
      </c>
      <c r="GL393" s="4">
        <v>0</v>
      </c>
    </row>
    <row r="394" spans="192:194" x14ac:dyDescent="0.25">
      <c r="GJ394" s="4">
        <v>380</v>
      </c>
      <c r="GK394" s="4">
        <v>69</v>
      </c>
      <c r="GL394" s="4">
        <v>0</v>
      </c>
    </row>
    <row r="395" spans="192:194" x14ac:dyDescent="0.25">
      <c r="GJ395" s="4">
        <v>381</v>
      </c>
      <c r="GK395" s="4">
        <v>69</v>
      </c>
      <c r="GL395" s="4">
        <v>0</v>
      </c>
    </row>
    <row r="396" spans="192:194" x14ac:dyDescent="0.25">
      <c r="GJ396" s="4">
        <v>382</v>
      </c>
      <c r="GK396" s="4">
        <v>69</v>
      </c>
      <c r="GL396" s="4">
        <v>0</v>
      </c>
    </row>
    <row r="397" spans="192:194" x14ac:dyDescent="0.25">
      <c r="GJ397" s="4">
        <v>383</v>
      </c>
      <c r="GK397" s="4">
        <v>69</v>
      </c>
      <c r="GL397" s="4">
        <v>0</v>
      </c>
    </row>
    <row r="398" spans="192:194" x14ac:dyDescent="0.25">
      <c r="GJ398" s="4">
        <v>384</v>
      </c>
      <c r="GK398" s="4">
        <v>69</v>
      </c>
      <c r="GL398" s="4">
        <v>0</v>
      </c>
    </row>
    <row r="399" spans="192:194" x14ac:dyDescent="0.25">
      <c r="GJ399" s="4">
        <v>385</v>
      </c>
      <c r="GK399" s="4">
        <v>69</v>
      </c>
      <c r="GL399" s="4">
        <v>0</v>
      </c>
    </row>
    <row r="400" spans="192:194" x14ac:dyDescent="0.25">
      <c r="GJ400" s="4">
        <v>386</v>
      </c>
      <c r="GK400" s="4">
        <v>69</v>
      </c>
      <c r="GL400" s="4">
        <v>0</v>
      </c>
    </row>
    <row r="401" spans="192:194" x14ac:dyDescent="0.25">
      <c r="GJ401" s="4">
        <v>387</v>
      </c>
      <c r="GK401" s="4">
        <v>69</v>
      </c>
      <c r="GL401" s="4">
        <v>0</v>
      </c>
    </row>
    <row r="402" spans="192:194" x14ac:dyDescent="0.25">
      <c r="GJ402" s="4">
        <v>388</v>
      </c>
      <c r="GK402" s="4">
        <v>69</v>
      </c>
      <c r="GL402" s="4">
        <v>0</v>
      </c>
    </row>
    <row r="403" spans="192:194" x14ac:dyDescent="0.25">
      <c r="GJ403" s="4">
        <v>389</v>
      </c>
      <c r="GK403" s="4">
        <v>69</v>
      </c>
      <c r="GL403" s="4">
        <v>0</v>
      </c>
    </row>
    <row r="404" spans="192:194" x14ac:dyDescent="0.25">
      <c r="GJ404" s="4">
        <v>390</v>
      </c>
      <c r="GK404" s="4">
        <v>71</v>
      </c>
      <c r="GL404" s="4">
        <v>0</v>
      </c>
    </row>
    <row r="405" spans="192:194" x14ac:dyDescent="0.25">
      <c r="GJ405" s="4">
        <v>391</v>
      </c>
      <c r="GK405" s="4">
        <v>71</v>
      </c>
      <c r="GL405" s="4">
        <v>0</v>
      </c>
    </row>
    <row r="406" spans="192:194" x14ac:dyDescent="0.25">
      <c r="GJ406" s="4">
        <v>392</v>
      </c>
      <c r="GK406" s="4">
        <v>71</v>
      </c>
      <c r="GL406" s="4">
        <v>0</v>
      </c>
    </row>
    <row r="407" spans="192:194" x14ac:dyDescent="0.25">
      <c r="GJ407" s="4">
        <v>393</v>
      </c>
      <c r="GK407" s="4">
        <v>71</v>
      </c>
      <c r="GL407" s="4">
        <v>0</v>
      </c>
    </row>
    <row r="408" spans="192:194" x14ac:dyDescent="0.25">
      <c r="GJ408" s="4">
        <v>394</v>
      </c>
      <c r="GK408" s="4">
        <v>71</v>
      </c>
      <c r="GL408" s="4">
        <v>0</v>
      </c>
    </row>
    <row r="409" spans="192:194" x14ac:dyDescent="0.25">
      <c r="GJ409" s="4">
        <v>395</v>
      </c>
      <c r="GK409" s="4">
        <v>71</v>
      </c>
      <c r="GL409" s="4">
        <v>0</v>
      </c>
    </row>
    <row r="410" spans="192:194" x14ac:dyDescent="0.25">
      <c r="GJ410" s="4">
        <v>396</v>
      </c>
      <c r="GK410" s="4">
        <v>71</v>
      </c>
      <c r="GL410" s="4">
        <v>0</v>
      </c>
    </row>
    <row r="411" spans="192:194" x14ac:dyDescent="0.25">
      <c r="GJ411" s="4">
        <v>397</v>
      </c>
      <c r="GK411" s="4">
        <v>71</v>
      </c>
      <c r="GL411" s="4">
        <v>0</v>
      </c>
    </row>
    <row r="412" spans="192:194" x14ac:dyDescent="0.25">
      <c r="GJ412" s="4">
        <v>398</v>
      </c>
      <c r="GK412" s="4">
        <v>71</v>
      </c>
      <c r="GL412" s="4">
        <v>0</v>
      </c>
    </row>
    <row r="413" spans="192:194" x14ac:dyDescent="0.25">
      <c r="GJ413" s="4">
        <v>399</v>
      </c>
      <c r="GK413" s="4">
        <v>71</v>
      </c>
      <c r="GL413" s="4">
        <v>0</v>
      </c>
    </row>
    <row r="414" spans="192:194" x14ac:dyDescent="0.25">
      <c r="GJ414" s="4">
        <v>400</v>
      </c>
      <c r="GK414" s="4">
        <v>73</v>
      </c>
      <c r="GL414" s="4">
        <v>0</v>
      </c>
    </row>
    <row r="415" spans="192:194" x14ac:dyDescent="0.25">
      <c r="GJ415" s="4">
        <v>401</v>
      </c>
      <c r="GK415" s="4">
        <v>73</v>
      </c>
      <c r="GL415" s="4">
        <v>-1</v>
      </c>
    </row>
    <row r="416" spans="192:194" x14ac:dyDescent="0.25">
      <c r="GJ416" s="4">
        <v>402</v>
      </c>
      <c r="GK416" s="4">
        <v>73</v>
      </c>
      <c r="GL416" s="4">
        <v>-1</v>
      </c>
    </row>
    <row r="417" spans="192:194" x14ac:dyDescent="0.25">
      <c r="GJ417" s="4">
        <v>403</v>
      </c>
      <c r="GK417" s="4">
        <v>73</v>
      </c>
      <c r="GL417" s="4">
        <v>-1</v>
      </c>
    </row>
    <row r="418" spans="192:194" x14ac:dyDescent="0.25">
      <c r="GJ418" s="4">
        <v>404</v>
      </c>
      <c r="GK418" s="4">
        <v>73</v>
      </c>
      <c r="GL418" s="4">
        <v>-1</v>
      </c>
    </row>
    <row r="419" spans="192:194" x14ac:dyDescent="0.25">
      <c r="GJ419" s="4">
        <v>405</v>
      </c>
      <c r="GK419" s="4">
        <v>73</v>
      </c>
      <c r="GL419" s="4">
        <v>-1</v>
      </c>
    </row>
    <row r="420" spans="192:194" x14ac:dyDescent="0.25">
      <c r="GJ420" s="4">
        <v>406</v>
      </c>
      <c r="GK420" s="4">
        <v>73</v>
      </c>
      <c r="GL420" s="4">
        <v>-1</v>
      </c>
    </row>
    <row r="421" spans="192:194" x14ac:dyDescent="0.25">
      <c r="GJ421" s="4">
        <v>407</v>
      </c>
      <c r="GK421" s="4">
        <v>73</v>
      </c>
      <c r="GL421" s="4">
        <v>-1</v>
      </c>
    </row>
    <row r="422" spans="192:194" x14ac:dyDescent="0.25">
      <c r="GJ422" s="4">
        <v>408</v>
      </c>
      <c r="GK422" s="4">
        <v>73</v>
      </c>
      <c r="GL422" s="4">
        <v>-1</v>
      </c>
    </row>
    <row r="423" spans="192:194" x14ac:dyDescent="0.25">
      <c r="GJ423" s="4">
        <v>409</v>
      </c>
      <c r="GK423" s="4">
        <v>73</v>
      </c>
      <c r="GL423" s="4">
        <v>-2</v>
      </c>
    </row>
    <row r="424" spans="192:194" x14ac:dyDescent="0.25">
      <c r="GJ424" s="4">
        <v>410</v>
      </c>
      <c r="GK424" s="4">
        <v>75</v>
      </c>
      <c r="GL424" s="4">
        <v>-2</v>
      </c>
    </row>
    <row r="425" spans="192:194" x14ac:dyDescent="0.25">
      <c r="GJ425" s="4">
        <v>411</v>
      </c>
      <c r="GK425" s="4">
        <v>75</v>
      </c>
      <c r="GL425" s="4">
        <v>-2</v>
      </c>
    </row>
    <row r="426" spans="192:194" x14ac:dyDescent="0.25">
      <c r="GJ426" s="4">
        <v>412</v>
      </c>
      <c r="GK426" s="4">
        <v>75</v>
      </c>
      <c r="GL426" s="4">
        <v>-2</v>
      </c>
    </row>
    <row r="427" spans="192:194" x14ac:dyDescent="0.25">
      <c r="GJ427" s="4">
        <v>413</v>
      </c>
      <c r="GK427" s="4">
        <v>75</v>
      </c>
      <c r="GL427" s="4">
        <v>-2</v>
      </c>
    </row>
    <row r="428" spans="192:194" x14ac:dyDescent="0.25">
      <c r="GJ428" s="4">
        <v>414</v>
      </c>
      <c r="GK428" s="4">
        <v>75</v>
      </c>
      <c r="GL428" s="4">
        <v>-2</v>
      </c>
    </row>
    <row r="429" spans="192:194" x14ac:dyDescent="0.25">
      <c r="GJ429" s="4">
        <v>415</v>
      </c>
      <c r="GK429" s="4">
        <v>75</v>
      </c>
      <c r="GL429" s="4">
        <v>-2</v>
      </c>
    </row>
    <row r="430" spans="192:194" x14ac:dyDescent="0.25">
      <c r="GJ430" s="4">
        <v>416</v>
      </c>
      <c r="GK430" s="4">
        <v>75</v>
      </c>
      <c r="GL430" s="4">
        <v>-2</v>
      </c>
    </row>
    <row r="431" spans="192:194" x14ac:dyDescent="0.25">
      <c r="GJ431" s="4">
        <v>417</v>
      </c>
      <c r="GK431" s="4">
        <v>75</v>
      </c>
      <c r="GL431" s="4">
        <v>-3</v>
      </c>
    </row>
    <row r="432" spans="192:194" x14ac:dyDescent="0.25">
      <c r="GJ432" s="4">
        <v>418</v>
      </c>
      <c r="GK432" s="4">
        <v>75</v>
      </c>
      <c r="GL432" s="4">
        <v>-3</v>
      </c>
    </row>
    <row r="433" spans="192:194" x14ac:dyDescent="0.25">
      <c r="GJ433" s="4">
        <v>419</v>
      </c>
      <c r="GK433" s="4">
        <v>75</v>
      </c>
      <c r="GL433" s="4">
        <v>-3</v>
      </c>
    </row>
    <row r="434" spans="192:194" x14ac:dyDescent="0.25">
      <c r="GJ434" s="4">
        <v>420</v>
      </c>
      <c r="GK434" s="4">
        <v>77</v>
      </c>
      <c r="GL434" s="4">
        <v>-3</v>
      </c>
    </row>
    <row r="435" spans="192:194" x14ac:dyDescent="0.25">
      <c r="GJ435" s="4">
        <v>421</v>
      </c>
      <c r="GK435" s="4">
        <v>77</v>
      </c>
      <c r="GL435" s="4">
        <v>-3</v>
      </c>
    </row>
    <row r="436" spans="192:194" x14ac:dyDescent="0.25">
      <c r="GJ436" s="4">
        <v>422</v>
      </c>
      <c r="GK436" s="4">
        <v>77</v>
      </c>
      <c r="GL436" s="4">
        <v>-3</v>
      </c>
    </row>
    <row r="437" spans="192:194" x14ac:dyDescent="0.25">
      <c r="GJ437" s="4">
        <v>423</v>
      </c>
      <c r="GK437" s="4">
        <v>77</v>
      </c>
      <c r="GL437" s="4">
        <v>-3</v>
      </c>
    </row>
    <row r="438" spans="192:194" x14ac:dyDescent="0.25">
      <c r="GJ438" s="4">
        <v>424</v>
      </c>
      <c r="GK438" s="4">
        <v>77</v>
      </c>
      <c r="GL438" s="4">
        <v>-3</v>
      </c>
    </row>
    <row r="439" spans="192:194" x14ac:dyDescent="0.25">
      <c r="GJ439" s="4">
        <v>425</v>
      </c>
      <c r="GK439" s="4">
        <v>77</v>
      </c>
      <c r="GL439" s="4">
        <v>-4</v>
      </c>
    </row>
    <row r="440" spans="192:194" x14ac:dyDescent="0.25">
      <c r="GJ440" s="4">
        <v>426</v>
      </c>
      <c r="GK440" s="4">
        <v>77</v>
      </c>
      <c r="GL440" s="4">
        <v>-4</v>
      </c>
    </row>
    <row r="441" spans="192:194" x14ac:dyDescent="0.25">
      <c r="GJ441" s="4">
        <v>427</v>
      </c>
      <c r="GK441" s="4">
        <v>77</v>
      </c>
      <c r="GL441" s="4">
        <v>-4</v>
      </c>
    </row>
    <row r="442" spans="192:194" x14ac:dyDescent="0.25">
      <c r="GJ442" s="4">
        <v>428</v>
      </c>
      <c r="GK442" s="4">
        <v>77</v>
      </c>
      <c r="GL442" s="4">
        <v>-4</v>
      </c>
    </row>
    <row r="443" spans="192:194" x14ac:dyDescent="0.25">
      <c r="GJ443" s="4">
        <v>429</v>
      </c>
      <c r="GK443" s="4">
        <v>77</v>
      </c>
      <c r="GL443" s="4">
        <v>-4</v>
      </c>
    </row>
    <row r="444" spans="192:194" x14ac:dyDescent="0.25">
      <c r="GJ444" s="4">
        <v>430</v>
      </c>
      <c r="GK444" s="4">
        <v>79</v>
      </c>
      <c r="GL444" s="4">
        <v>-4</v>
      </c>
    </row>
    <row r="445" spans="192:194" x14ac:dyDescent="0.25">
      <c r="GJ445" s="4">
        <v>431</v>
      </c>
      <c r="GK445" s="4">
        <v>79</v>
      </c>
      <c r="GL445" s="4">
        <v>-4</v>
      </c>
    </row>
    <row r="446" spans="192:194" x14ac:dyDescent="0.25">
      <c r="GJ446" s="4">
        <v>432</v>
      </c>
      <c r="GK446" s="4">
        <v>79</v>
      </c>
      <c r="GL446" s="4">
        <v>-4</v>
      </c>
    </row>
    <row r="447" spans="192:194" x14ac:dyDescent="0.25">
      <c r="GJ447" s="4">
        <v>433</v>
      </c>
      <c r="GK447" s="4">
        <v>79</v>
      </c>
      <c r="GL447" s="4">
        <v>-5</v>
      </c>
    </row>
    <row r="448" spans="192:194" x14ac:dyDescent="0.25">
      <c r="GJ448" s="4">
        <v>434</v>
      </c>
      <c r="GK448" s="4">
        <v>79</v>
      </c>
      <c r="GL448" s="4">
        <v>-5</v>
      </c>
    </row>
    <row r="449" spans="192:194" x14ac:dyDescent="0.25">
      <c r="GJ449" s="4">
        <v>435</v>
      </c>
      <c r="GK449" s="4">
        <v>79</v>
      </c>
      <c r="GL449" s="4">
        <v>-5</v>
      </c>
    </row>
    <row r="450" spans="192:194" x14ac:dyDescent="0.25">
      <c r="GJ450" s="4">
        <v>436</v>
      </c>
      <c r="GK450" s="4">
        <v>79</v>
      </c>
      <c r="GL450" s="4">
        <v>-5</v>
      </c>
    </row>
    <row r="451" spans="192:194" x14ac:dyDescent="0.25">
      <c r="GJ451" s="4">
        <v>437</v>
      </c>
      <c r="GK451" s="4">
        <v>79</v>
      </c>
      <c r="GL451" s="4">
        <v>-5</v>
      </c>
    </row>
    <row r="452" spans="192:194" x14ac:dyDescent="0.25">
      <c r="GJ452" s="4">
        <v>438</v>
      </c>
      <c r="GK452" s="4">
        <v>79</v>
      </c>
      <c r="GL452" s="4">
        <v>-5</v>
      </c>
    </row>
    <row r="453" spans="192:194" x14ac:dyDescent="0.25">
      <c r="GJ453" s="4">
        <v>439</v>
      </c>
      <c r="GK453" s="4">
        <v>79</v>
      </c>
      <c r="GL453" s="4">
        <v>-5</v>
      </c>
    </row>
    <row r="454" spans="192:194" x14ac:dyDescent="0.25">
      <c r="GJ454" s="4">
        <v>440</v>
      </c>
      <c r="GK454" s="4">
        <v>81</v>
      </c>
      <c r="GL454" s="4">
        <v>-5</v>
      </c>
    </row>
    <row r="455" spans="192:194" x14ac:dyDescent="0.25">
      <c r="GJ455" s="4">
        <v>441</v>
      </c>
      <c r="GK455" s="4">
        <v>81</v>
      </c>
      <c r="GL455" s="4">
        <v>-6</v>
      </c>
    </row>
    <row r="456" spans="192:194" x14ac:dyDescent="0.25">
      <c r="GJ456" s="4">
        <v>442</v>
      </c>
      <c r="GK456" s="4">
        <v>81</v>
      </c>
      <c r="GL456" s="4">
        <v>-6</v>
      </c>
    </row>
    <row r="457" spans="192:194" x14ac:dyDescent="0.25">
      <c r="GJ457" s="4">
        <v>443</v>
      </c>
      <c r="GK457" s="4">
        <v>81</v>
      </c>
      <c r="GL457" s="4">
        <v>-6</v>
      </c>
    </row>
    <row r="458" spans="192:194" x14ac:dyDescent="0.25">
      <c r="GJ458" s="4">
        <v>444</v>
      </c>
      <c r="GK458" s="4">
        <v>81</v>
      </c>
      <c r="GL458" s="4">
        <v>-6</v>
      </c>
    </row>
    <row r="459" spans="192:194" x14ac:dyDescent="0.25">
      <c r="GJ459" s="4">
        <v>445</v>
      </c>
      <c r="GK459" s="4">
        <v>81</v>
      </c>
      <c r="GL459" s="4">
        <v>-6</v>
      </c>
    </row>
    <row r="460" spans="192:194" x14ac:dyDescent="0.25">
      <c r="GJ460" s="4">
        <v>446</v>
      </c>
      <c r="GK460" s="4">
        <v>81</v>
      </c>
      <c r="GL460" s="4">
        <v>-6</v>
      </c>
    </row>
    <row r="461" spans="192:194" x14ac:dyDescent="0.25">
      <c r="GJ461" s="4">
        <v>447</v>
      </c>
      <c r="GK461" s="4">
        <v>81</v>
      </c>
      <c r="GL461" s="4">
        <v>-6</v>
      </c>
    </row>
    <row r="462" spans="192:194" x14ac:dyDescent="0.25">
      <c r="GJ462" s="4">
        <v>448</v>
      </c>
      <c r="GK462" s="4">
        <v>81</v>
      </c>
      <c r="GL462" s="4">
        <v>-6</v>
      </c>
    </row>
    <row r="463" spans="192:194" x14ac:dyDescent="0.25">
      <c r="GJ463" s="4">
        <v>449</v>
      </c>
      <c r="GK463" s="4">
        <v>81</v>
      </c>
      <c r="GL463" s="4">
        <v>-7</v>
      </c>
    </row>
    <row r="464" spans="192:194" x14ac:dyDescent="0.25">
      <c r="GJ464" s="4">
        <v>450</v>
      </c>
      <c r="GK464" s="4">
        <v>82</v>
      </c>
      <c r="GL464" s="4">
        <v>-7</v>
      </c>
    </row>
    <row r="465" spans="192:194" x14ac:dyDescent="0.25">
      <c r="GJ465" s="4">
        <v>451</v>
      </c>
      <c r="GK465" s="4">
        <v>82</v>
      </c>
      <c r="GL465" s="4">
        <v>-7</v>
      </c>
    </row>
    <row r="466" spans="192:194" x14ac:dyDescent="0.25">
      <c r="GJ466" s="4">
        <v>452</v>
      </c>
      <c r="GK466" s="4">
        <v>82</v>
      </c>
      <c r="GL466" s="4">
        <v>-7</v>
      </c>
    </row>
    <row r="467" spans="192:194" x14ac:dyDescent="0.25">
      <c r="GJ467" s="4">
        <v>453</v>
      </c>
      <c r="GK467" s="4">
        <v>82</v>
      </c>
      <c r="GL467" s="4">
        <v>-7</v>
      </c>
    </row>
    <row r="468" spans="192:194" x14ac:dyDescent="0.25">
      <c r="GJ468" s="4">
        <v>454</v>
      </c>
      <c r="GK468" s="4">
        <v>82</v>
      </c>
      <c r="GL468" s="4">
        <v>-7</v>
      </c>
    </row>
    <row r="469" spans="192:194" x14ac:dyDescent="0.25">
      <c r="GJ469" s="4">
        <v>455</v>
      </c>
      <c r="GK469" s="4">
        <v>82</v>
      </c>
      <c r="GL469" s="4">
        <v>-7</v>
      </c>
    </row>
    <row r="470" spans="192:194" x14ac:dyDescent="0.25">
      <c r="GJ470" s="4">
        <v>456</v>
      </c>
      <c r="GK470" s="4">
        <v>82</v>
      </c>
      <c r="GL470" s="4">
        <v>-7</v>
      </c>
    </row>
    <row r="471" spans="192:194" x14ac:dyDescent="0.25">
      <c r="GJ471" s="4">
        <v>457</v>
      </c>
      <c r="GK471" s="4">
        <v>82</v>
      </c>
      <c r="GL471" s="4">
        <v>-8</v>
      </c>
    </row>
    <row r="472" spans="192:194" x14ac:dyDescent="0.25">
      <c r="GJ472" s="4">
        <v>458</v>
      </c>
      <c r="GK472" s="4">
        <v>82</v>
      </c>
      <c r="GL472" s="4">
        <v>-8</v>
      </c>
    </row>
    <row r="473" spans="192:194" x14ac:dyDescent="0.25">
      <c r="GJ473" s="4">
        <v>459</v>
      </c>
      <c r="GK473" s="4">
        <v>82</v>
      </c>
      <c r="GL473" s="4">
        <v>-8</v>
      </c>
    </row>
    <row r="474" spans="192:194" x14ac:dyDescent="0.25">
      <c r="GJ474" s="4">
        <v>460</v>
      </c>
      <c r="GK474" s="4">
        <v>86</v>
      </c>
      <c r="GL474" s="4">
        <v>-8</v>
      </c>
    </row>
    <row r="475" spans="192:194" x14ac:dyDescent="0.25">
      <c r="GJ475" s="4">
        <v>461</v>
      </c>
      <c r="GK475" s="4">
        <v>86</v>
      </c>
      <c r="GL475" s="4">
        <v>-8</v>
      </c>
    </row>
    <row r="476" spans="192:194" x14ac:dyDescent="0.25">
      <c r="GJ476" s="4">
        <v>462</v>
      </c>
      <c r="GK476" s="4">
        <v>86</v>
      </c>
      <c r="GL476" s="4">
        <v>-8</v>
      </c>
    </row>
    <row r="477" spans="192:194" x14ac:dyDescent="0.25">
      <c r="GJ477" s="4">
        <v>463</v>
      </c>
      <c r="GK477" s="4">
        <v>86</v>
      </c>
      <c r="GL477" s="4">
        <v>-8</v>
      </c>
    </row>
    <row r="478" spans="192:194" x14ac:dyDescent="0.25">
      <c r="GJ478" s="4">
        <v>464</v>
      </c>
      <c r="GK478" s="4">
        <v>86</v>
      </c>
      <c r="GL478" s="4">
        <v>-8</v>
      </c>
    </row>
    <row r="479" spans="192:194" x14ac:dyDescent="0.25">
      <c r="GJ479" s="4">
        <v>465</v>
      </c>
      <c r="GK479" s="4">
        <v>86</v>
      </c>
      <c r="GL479" s="4">
        <v>-9</v>
      </c>
    </row>
    <row r="480" spans="192:194" x14ac:dyDescent="0.25">
      <c r="GJ480" s="4">
        <v>466</v>
      </c>
      <c r="GK480" s="4">
        <v>86</v>
      </c>
      <c r="GL480" s="4">
        <v>-9</v>
      </c>
    </row>
    <row r="481" spans="192:194" x14ac:dyDescent="0.25">
      <c r="GJ481" s="4">
        <v>467</v>
      </c>
      <c r="GK481" s="4">
        <v>86</v>
      </c>
      <c r="GL481" s="4">
        <v>-9</v>
      </c>
    </row>
    <row r="482" spans="192:194" x14ac:dyDescent="0.25">
      <c r="GJ482" s="4">
        <v>468</v>
      </c>
      <c r="GK482" s="4">
        <v>86</v>
      </c>
      <c r="GL482" s="4">
        <v>-9</v>
      </c>
    </row>
    <row r="483" spans="192:194" x14ac:dyDescent="0.25">
      <c r="GJ483" s="4">
        <v>469</v>
      </c>
      <c r="GK483" s="4">
        <v>86</v>
      </c>
      <c r="GL483" s="4">
        <v>-9</v>
      </c>
    </row>
    <row r="484" spans="192:194" x14ac:dyDescent="0.25">
      <c r="GJ484" s="4">
        <v>470</v>
      </c>
      <c r="GK484" s="4">
        <v>89</v>
      </c>
      <c r="GL484" s="4">
        <v>-9</v>
      </c>
    </row>
    <row r="485" spans="192:194" x14ac:dyDescent="0.25">
      <c r="GJ485" s="4">
        <v>471</v>
      </c>
      <c r="GK485" s="4">
        <v>89</v>
      </c>
      <c r="GL485" s="4">
        <v>-9</v>
      </c>
    </row>
    <row r="486" spans="192:194" x14ac:dyDescent="0.25">
      <c r="GJ486" s="4">
        <v>472</v>
      </c>
      <c r="GK486" s="4">
        <v>89</v>
      </c>
      <c r="GL486" s="4">
        <v>-9</v>
      </c>
    </row>
    <row r="487" spans="192:194" x14ac:dyDescent="0.25">
      <c r="GJ487" s="4">
        <v>473</v>
      </c>
      <c r="GK487" s="4">
        <v>89</v>
      </c>
      <c r="GL487" s="4">
        <v>-10</v>
      </c>
    </row>
    <row r="488" spans="192:194" x14ac:dyDescent="0.25">
      <c r="GJ488" s="4">
        <v>474</v>
      </c>
      <c r="GK488" s="4">
        <v>89</v>
      </c>
      <c r="GL488" s="4">
        <v>-10</v>
      </c>
    </row>
    <row r="489" spans="192:194" x14ac:dyDescent="0.25">
      <c r="GJ489" s="4">
        <v>475</v>
      </c>
      <c r="GK489" s="4">
        <v>89</v>
      </c>
      <c r="GL489" s="4">
        <v>-10</v>
      </c>
    </row>
    <row r="490" spans="192:194" x14ac:dyDescent="0.25">
      <c r="GJ490" s="4">
        <v>476</v>
      </c>
      <c r="GK490" s="4">
        <v>89</v>
      </c>
      <c r="GL490" s="4">
        <v>-10</v>
      </c>
    </row>
    <row r="491" spans="192:194" x14ac:dyDescent="0.25">
      <c r="GJ491" s="4">
        <v>477</v>
      </c>
      <c r="GK491" s="4">
        <v>89</v>
      </c>
      <c r="GL491" s="4">
        <v>-10</v>
      </c>
    </row>
    <row r="492" spans="192:194" x14ac:dyDescent="0.25">
      <c r="GJ492" s="4">
        <v>478</v>
      </c>
      <c r="GK492" s="4">
        <v>89</v>
      </c>
      <c r="GL492" s="4">
        <v>-10</v>
      </c>
    </row>
    <row r="493" spans="192:194" x14ac:dyDescent="0.25">
      <c r="GJ493" s="4">
        <v>479</v>
      </c>
      <c r="GK493" s="4">
        <v>89</v>
      </c>
      <c r="GL493" s="4">
        <v>-10</v>
      </c>
    </row>
    <row r="494" spans="192:194" x14ac:dyDescent="0.25">
      <c r="GJ494" s="4">
        <v>480</v>
      </c>
      <c r="GK494" s="4">
        <v>90</v>
      </c>
      <c r="GL494" s="4">
        <v>-10</v>
      </c>
    </row>
    <row r="495" spans="192:194" x14ac:dyDescent="0.25">
      <c r="GJ495" s="4">
        <v>481</v>
      </c>
      <c r="GK495" s="4">
        <v>90</v>
      </c>
      <c r="GL495" s="4">
        <v>-11</v>
      </c>
    </row>
    <row r="496" spans="192:194" x14ac:dyDescent="0.25">
      <c r="GJ496" s="4">
        <v>482</v>
      </c>
      <c r="GK496" s="4">
        <v>90</v>
      </c>
      <c r="GL496" s="4">
        <v>-11</v>
      </c>
    </row>
    <row r="497" spans="192:194" x14ac:dyDescent="0.25">
      <c r="GJ497" s="4">
        <v>483</v>
      </c>
      <c r="GK497" s="4">
        <v>90</v>
      </c>
      <c r="GL497" s="4">
        <v>-11</v>
      </c>
    </row>
    <row r="498" spans="192:194" x14ac:dyDescent="0.25">
      <c r="GJ498" s="4">
        <v>484</v>
      </c>
      <c r="GK498" s="4">
        <v>90</v>
      </c>
      <c r="GL498" s="4">
        <v>-11</v>
      </c>
    </row>
    <row r="499" spans="192:194" x14ac:dyDescent="0.25">
      <c r="GJ499" s="4">
        <v>485</v>
      </c>
      <c r="GK499" s="4">
        <v>90</v>
      </c>
      <c r="GL499" s="4">
        <v>-11</v>
      </c>
    </row>
    <row r="500" spans="192:194" x14ac:dyDescent="0.25">
      <c r="GJ500" s="4">
        <v>486</v>
      </c>
      <c r="GK500" s="4">
        <v>90</v>
      </c>
      <c r="GL500" s="4">
        <v>-11</v>
      </c>
    </row>
    <row r="501" spans="192:194" x14ac:dyDescent="0.25">
      <c r="GJ501" s="4">
        <v>487</v>
      </c>
      <c r="GK501" s="4">
        <v>90</v>
      </c>
      <c r="GL501" s="4">
        <v>-11</v>
      </c>
    </row>
    <row r="502" spans="192:194" x14ac:dyDescent="0.25">
      <c r="GJ502" s="4">
        <v>488</v>
      </c>
      <c r="GK502" s="4">
        <v>90</v>
      </c>
      <c r="GL502" s="4">
        <v>-11</v>
      </c>
    </row>
    <row r="503" spans="192:194" x14ac:dyDescent="0.25">
      <c r="GJ503" s="4">
        <v>489</v>
      </c>
      <c r="GK503" s="4">
        <v>90</v>
      </c>
      <c r="GL503" s="4">
        <v>-12</v>
      </c>
    </row>
    <row r="504" spans="192:194" x14ac:dyDescent="0.25">
      <c r="GJ504" s="4">
        <v>490</v>
      </c>
      <c r="GK504" s="4">
        <v>92</v>
      </c>
      <c r="GL504" s="4">
        <v>-12</v>
      </c>
    </row>
    <row r="505" spans="192:194" x14ac:dyDescent="0.25">
      <c r="GJ505" s="4">
        <v>491</v>
      </c>
      <c r="GK505" s="4">
        <v>92</v>
      </c>
      <c r="GL505" s="4">
        <v>-12</v>
      </c>
    </row>
    <row r="506" spans="192:194" x14ac:dyDescent="0.25">
      <c r="GJ506" s="4">
        <v>492</v>
      </c>
      <c r="GK506" s="4">
        <v>92</v>
      </c>
      <c r="GL506" s="4">
        <v>-12</v>
      </c>
    </row>
    <row r="507" spans="192:194" x14ac:dyDescent="0.25">
      <c r="GJ507" s="4">
        <v>493</v>
      </c>
      <c r="GK507" s="4">
        <v>92</v>
      </c>
      <c r="GL507" s="4">
        <v>-12</v>
      </c>
    </row>
    <row r="508" spans="192:194" x14ac:dyDescent="0.25">
      <c r="GJ508" s="4">
        <v>494</v>
      </c>
      <c r="GK508" s="4">
        <v>92</v>
      </c>
      <c r="GL508" s="4">
        <v>-12</v>
      </c>
    </row>
    <row r="509" spans="192:194" x14ac:dyDescent="0.25">
      <c r="GJ509" s="4">
        <v>495</v>
      </c>
      <c r="GK509" s="4">
        <v>92</v>
      </c>
      <c r="GL509" s="4">
        <v>-12</v>
      </c>
    </row>
    <row r="510" spans="192:194" x14ac:dyDescent="0.25">
      <c r="GJ510" s="4">
        <v>496</v>
      </c>
      <c r="GK510" s="4">
        <v>92</v>
      </c>
      <c r="GL510" s="4">
        <v>-12</v>
      </c>
    </row>
    <row r="511" spans="192:194" x14ac:dyDescent="0.25">
      <c r="GJ511" s="4">
        <v>497</v>
      </c>
      <c r="GK511" s="4">
        <v>92</v>
      </c>
      <c r="GL511" s="4">
        <v>-13</v>
      </c>
    </row>
    <row r="512" spans="192:194" x14ac:dyDescent="0.25">
      <c r="GJ512" s="4">
        <v>498</v>
      </c>
      <c r="GK512" s="4">
        <v>92</v>
      </c>
      <c r="GL512" s="4">
        <v>-13</v>
      </c>
    </row>
    <row r="513" spans="192:194" x14ac:dyDescent="0.25">
      <c r="GJ513" s="4">
        <v>499</v>
      </c>
      <c r="GK513" s="4">
        <v>92</v>
      </c>
      <c r="GL513" s="4">
        <v>-13</v>
      </c>
    </row>
    <row r="514" spans="192:194" x14ac:dyDescent="0.25">
      <c r="GJ514" s="4">
        <v>500</v>
      </c>
      <c r="GK514" s="4">
        <v>93</v>
      </c>
      <c r="GL514" s="4">
        <v>-13</v>
      </c>
    </row>
    <row r="515" spans="192:194" x14ac:dyDescent="0.25">
      <c r="GJ515" s="4">
        <v>501</v>
      </c>
      <c r="GK515" s="4">
        <v>93</v>
      </c>
      <c r="GL515" s="4">
        <v>-13</v>
      </c>
    </row>
    <row r="516" spans="192:194" x14ac:dyDescent="0.25">
      <c r="GJ516" s="4">
        <v>502</v>
      </c>
      <c r="GK516" s="4">
        <v>93</v>
      </c>
      <c r="GL516" s="4">
        <v>-13</v>
      </c>
    </row>
    <row r="517" spans="192:194" x14ac:dyDescent="0.25">
      <c r="GJ517" s="4">
        <v>503</v>
      </c>
      <c r="GK517" s="4">
        <v>93</v>
      </c>
      <c r="GL517" s="4">
        <v>-13</v>
      </c>
    </row>
    <row r="518" spans="192:194" x14ac:dyDescent="0.25">
      <c r="GJ518" s="4">
        <v>504</v>
      </c>
      <c r="GK518" s="4">
        <v>93</v>
      </c>
      <c r="GL518" s="4">
        <v>-13</v>
      </c>
    </row>
    <row r="519" spans="192:194" x14ac:dyDescent="0.25">
      <c r="GJ519" s="4">
        <v>505</v>
      </c>
      <c r="GK519" s="4">
        <v>93</v>
      </c>
      <c r="GL519" s="4">
        <v>-14</v>
      </c>
    </row>
    <row r="520" spans="192:194" x14ac:dyDescent="0.25">
      <c r="GJ520" s="4">
        <v>506</v>
      </c>
      <c r="GK520" s="4">
        <v>93</v>
      </c>
      <c r="GL520" s="4">
        <v>-14</v>
      </c>
    </row>
    <row r="521" spans="192:194" x14ac:dyDescent="0.25">
      <c r="GJ521" s="4">
        <v>507</v>
      </c>
      <c r="GK521" s="4">
        <v>93</v>
      </c>
      <c r="GL521" s="4">
        <v>-14</v>
      </c>
    </row>
    <row r="522" spans="192:194" x14ac:dyDescent="0.25">
      <c r="GJ522" s="4">
        <v>508</v>
      </c>
      <c r="GK522" s="4">
        <v>93</v>
      </c>
      <c r="GL522" s="4">
        <v>-14</v>
      </c>
    </row>
    <row r="523" spans="192:194" x14ac:dyDescent="0.25">
      <c r="GJ523" s="4">
        <v>509</v>
      </c>
      <c r="GK523" s="4">
        <v>93</v>
      </c>
      <c r="GL523" s="4">
        <v>-14</v>
      </c>
    </row>
    <row r="524" spans="192:194" x14ac:dyDescent="0.25">
      <c r="GJ524" s="4">
        <v>510</v>
      </c>
      <c r="GK524" s="4">
        <v>94</v>
      </c>
      <c r="GL524" s="4">
        <v>-14</v>
      </c>
    </row>
    <row r="525" spans="192:194" x14ac:dyDescent="0.25">
      <c r="GJ525" s="4">
        <v>511</v>
      </c>
      <c r="GK525" s="4">
        <v>94</v>
      </c>
      <c r="GL525" s="4">
        <v>-14</v>
      </c>
    </row>
    <row r="526" spans="192:194" x14ac:dyDescent="0.25">
      <c r="GJ526" s="4">
        <v>512</v>
      </c>
      <c r="GK526" s="4">
        <v>94</v>
      </c>
      <c r="GL526" s="4">
        <v>-14</v>
      </c>
    </row>
    <row r="527" spans="192:194" x14ac:dyDescent="0.25">
      <c r="GJ527" s="4">
        <v>513</v>
      </c>
      <c r="GK527" s="4">
        <v>94</v>
      </c>
      <c r="GL527" s="4">
        <v>-15</v>
      </c>
    </row>
    <row r="528" spans="192:194" x14ac:dyDescent="0.25">
      <c r="GJ528" s="4">
        <v>514</v>
      </c>
      <c r="GK528" s="4">
        <v>94</v>
      </c>
      <c r="GL528" s="4">
        <v>-15</v>
      </c>
    </row>
    <row r="529" spans="192:194" x14ac:dyDescent="0.25">
      <c r="GJ529" s="4">
        <v>515</v>
      </c>
      <c r="GK529" s="4">
        <v>94</v>
      </c>
      <c r="GL529" s="4">
        <v>-15</v>
      </c>
    </row>
    <row r="530" spans="192:194" x14ac:dyDescent="0.25">
      <c r="GJ530" s="4">
        <v>516</v>
      </c>
      <c r="GK530" s="4">
        <v>94</v>
      </c>
      <c r="GL530" s="4">
        <v>-15</v>
      </c>
    </row>
    <row r="531" spans="192:194" x14ac:dyDescent="0.25">
      <c r="GJ531" s="4">
        <v>517</v>
      </c>
      <c r="GK531" s="4">
        <v>94</v>
      </c>
      <c r="GL531" s="4">
        <v>-15</v>
      </c>
    </row>
    <row r="532" spans="192:194" x14ac:dyDescent="0.25">
      <c r="GJ532" s="4">
        <v>518</v>
      </c>
      <c r="GK532" s="4">
        <v>94</v>
      </c>
      <c r="GL532" s="4">
        <v>-15</v>
      </c>
    </row>
    <row r="533" spans="192:194" x14ac:dyDescent="0.25">
      <c r="GJ533" s="4">
        <v>519</v>
      </c>
      <c r="GK533" s="4">
        <v>94</v>
      </c>
      <c r="GL533" s="4">
        <v>-15</v>
      </c>
    </row>
    <row r="534" spans="192:194" x14ac:dyDescent="0.25">
      <c r="GJ534" s="4">
        <v>520</v>
      </c>
      <c r="GK534" s="4">
        <v>95</v>
      </c>
      <c r="GL534" s="4">
        <v>-15</v>
      </c>
    </row>
    <row r="535" spans="192:194" x14ac:dyDescent="0.25">
      <c r="GJ535" s="4">
        <v>521</v>
      </c>
      <c r="GK535" s="4">
        <v>95</v>
      </c>
      <c r="GL535" s="4">
        <v>-16</v>
      </c>
    </row>
    <row r="536" spans="192:194" x14ac:dyDescent="0.25">
      <c r="GJ536" s="4">
        <v>522</v>
      </c>
      <c r="GK536" s="4">
        <v>95</v>
      </c>
      <c r="GL536" s="4">
        <v>-16</v>
      </c>
    </row>
    <row r="537" spans="192:194" x14ac:dyDescent="0.25">
      <c r="GJ537" s="4">
        <v>523</v>
      </c>
      <c r="GK537" s="4">
        <v>95</v>
      </c>
      <c r="GL537" s="4">
        <v>-16</v>
      </c>
    </row>
    <row r="538" spans="192:194" x14ac:dyDescent="0.25">
      <c r="GJ538" s="4">
        <v>524</v>
      </c>
      <c r="GK538" s="4">
        <v>95</v>
      </c>
      <c r="GL538" s="4">
        <v>-16</v>
      </c>
    </row>
    <row r="539" spans="192:194" x14ac:dyDescent="0.25">
      <c r="GJ539" s="4">
        <v>525</v>
      </c>
      <c r="GK539" s="4">
        <v>95</v>
      </c>
      <c r="GL539" s="4">
        <v>-16</v>
      </c>
    </row>
    <row r="540" spans="192:194" x14ac:dyDescent="0.25">
      <c r="GJ540" s="4">
        <v>526</v>
      </c>
      <c r="GK540" s="4">
        <v>95</v>
      </c>
      <c r="GL540" s="4">
        <v>-16</v>
      </c>
    </row>
    <row r="541" spans="192:194" x14ac:dyDescent="0.25">
      <c r="GJ541" s="4">
        <v>527</v>
      </c>
      <c r="GK541" s="4">
        <v>95</v>
      </c>
      <c r="GL541" s="4">
        <v>-16</v>
      </c>
    </row>
    <row r="542" spans="192:194" x14ac:dyDescent="0.25">
      <c r="GJ542" s="4">
        <v>528</v>
      </c>
      <c r="GK542" s="4">
        <v>95</v>
      </c>
      <c r="GL542" s="4">
        <v>-16</v>
      </c>
    </row>
    <row r="543" spans="192:194" x14ac:dyDescent="0.25">
      <c r="GJ543" s="4">
        <v>529</v>
      </c>
      <c r="GK543" s="4">
        <v>95</v>
      </c>
      <c r="GL543" s="4">
        <v>-17</v>
      </c>
    </row>
    <row r="544" spans="192:194" x14ac:dyDescent="0.25">
      <c r="GJ544" s="4">
        <v>530</v>
      </c>
      <c r="GK544" s="4">
        <v>96</v>
      </c>
      <c r="GL544" s="4">
        <v>-17</v>
      </c>
    </row>
    <row r="545" spans="192:194" x14ac:dyDescent="0.25">
      <c r="GJ545" s="4">
        <v>531</v>
      </c>
      <c r="GK545" s="4">
        <v>96</v>
      </c>
      <c r="GL545" s="4">
        <v>-17</v>
      </c>
    </row>
    <row r="546" spans="192:194" x14ac:dyDescent="0.25">
      <c r="GJ546" s="4">
        <v>532</v>
      </c>
      <c r="GK546" s="4">
        <v>96</v>
      </c>
      <c r="GL546" s="4">
        <v>-17</v>
      </c>
    </row>
    <row r="547" spans="192:194" x14ac:dyDescent="0.25">
      <c r="GJ547" s="4">
        <v>533</v>
      </c>
      <c r="GK547" s="4">
        <v>96</v>
      </c>
      <c r="GL547" s="4">
        <v>-17</v>
      </c>
    </row>
    <row r="548" spans="192:194" x14ac:dyDescent="0.25">
      <c r="GJ548" s="4">
        <v>534</v>
      </c>
      <c r="GK548" s="4">
        <v>96</v>
      </c>
      <c r="GL548" s="4">
        <v>-17</v>
      </c>
    </row>
    <row r="549" spans="192:194" x14ac:dyDescent="0.25">
      <c r="GJ549" s="4">
        <v>535</v>
      </c>
      <c r="GK549" s="4">
        <v>96</v>
      </c>
      <c r="GL549" s="4">
        <v>-17</v>
      </c>
    </row>
    <row r="550" spans="192:194" x14ac:dyDescent="0.25">
      <c r="GJ550" s="4">
        <v>536</v>
      </c>
      <c r="GK550" s="4">
        <v>96</v>
      </c>
      <c r="GL550" s="4">
        <v>-17</v>
      </c>
    </row>
    <row r="551" spans="192:194" x14ac:dyDescent="0.25">
      <c r="GJ551" s="4">
        <v>537</v>
      </c>
      <c r="GK551" s="4">
        <v>96</v>
      </c>
      <c r="GL551" s="4">
        <v>-18</v>
      </c>
    </row>
    <row r="552" spans="192:194" x14ac:dyDescent="0.25">
      <c r="GJ552" s="4">
        <v>538</v>
      </c>
      <c r="GK552" s="4">
        <v>96</v>
      </c>
      <c r="GL552" s="4">
        <v>-18</v>
      </c>
    </row>
    <row r="553" spans="192:194" x14ac:dyDescent="0.25">
      <c r="GJ553" s="4">
        <v>539</v>
      </c>
      <c r="GK553" s="4">
        <v>96</v>
      </c>
      <c r="GL553" s="4">
        <v>-18</v>
      </c>
    </row>
    <row r="554" spans="192:194" x14ac:dyDescent="0.25">
      <c r="GJ554" s="4">
        <v>540</v>
      </c>
      <c r="GK554" s="4">
        <v>97</v>
      </c>
      <c r="GL554" s="4">
        <v>-18</v>
      </c>
    </row>
    <row r="555" spans="192:194" x14ac:dyDescent="0.25">
      <c r="GJ555" s="4">
        <v>541</v>
      </c>
      <c r="GK555" s="4">
        <v>97</v>
      </c>
      <c r="GL555" s="4">
        <v>-18</v>
      </c>
    </row>
    <row r="556" spans="192:194" x14ac:dyDescent="0.25">
      <c r="GJ556" s="4">
        <v>542</v>
      </c>
      <c r="GK556" s="4">
        <v>97</v>
      </c>
      <c r="GL556" s="4">
        <v>-18</v>
      </c>
    </row>
    <row r="557" spans="192:194" x14ac:dyDescent="0.25">
      <c r="GJ557" s="4">
        <v>543</v>
      </c>
      <c r="GK557" s="4">
        <v>97</v>
      </c>
      <c r="GL557" s="4">
        <v>-18</v>
      </c>
    </row>
    <row r="558" spans="192:194" x14ac:dyDescent="0.25">
      <c r="GJ558" s="4">
        <v>544</v>
      </c>
      <c r="GK558" s="4">
        <v>97</v>
      </c>
      <c r="GL558" s="4">
        <v>-18</v>
      </c>
    </row>
    <row r="559" spans="192:194" x14ac:dyDescent="0.25">
      <c r="GJ559" s="4">
        <v>545</v>
      </c>
      <c r="GK559" s="4">
        <v>97</v>
      </c>
      <c r="GL559" s="4">
        <v>-19</v>
      </c>
    </row>
    <row r="560" spans="192:194" x14ac:dyDescent="0.25">
      <c r="GJ560" s="4">
        <v>546</v>
      </c>
      <c r="GK560" s="4">
        <v>97</v>
      </c>
      <c r="GL560" s="4">
        <v>-19</v>
      </c>
    </row>
    <row r="561" spans="192:194" x14ac:dyDescent="0.25">
      <c r="GJ561" s="4">
        <v>547</v>
      </c>
      <c r="GK561" s="4">
        <v>97</v>
      </c>
      <c r="GL561" s="4">
        <v>-19</v>
      </c>
    </row>
    <row r="562" spans="192:194" x14ac:dyDescent="0.25">
      <c r="GJ562" s="4">
        <v>548</v>
      </c>
      <c r="GK562" s="4">
        <v>97</v>
      </c>
      <c r="GL562" s="4">
        <v>-19</v>
      </c>
    </row>
    <row r="563" spans="192:194" x14ac:dyDescent="0.25">
      <c r="GJ563" s="4">
        <v>549</v>
      </c>
      <c r="GK563" s="4">
        <v>97</v>
      </c>
      <c r="GL563" s="4">
        <v>-19</v>
      </c>
    </row>
    <row r="564" spans="192:194" x14ac:dyDescent="0.25">
      <c r="GJ564" s="4">
        <v>550</v>
      </c>
      <c r="GK564" s="4">
        <v>98</v>
      </c>
      <c r="GL564" s="4">
        <v>-19</v>
      </c>
    </row>
    <row r="565" spans="192:194" x14ac:dyDescent="0.25">
      <c r="GJ565" s="4">
        <v>551</v>
      </c>
      <c r="GK565" s="4">
        <v>98</v>
      </c>
      <c r="GL565" s="4">
        <v>-19</v>
      </c>
    </row>
    <row r="566" spans="192:194" x14ac:dyDescent="0.25">
      <c r="GJ566" s="4">
        <v>552</v>
      </c>
      <c r="GK566" s="4">
        <v>98</v>
      </c>
      <c r="GL566" s="4">
        <v>-19</v>
      </c>
    </row>
    <row r="567" spans="192:194" x14ac:dyDescent="0.25">
      <c r="GJ567" s="4">
        <v>553</v>
      </c>
      <c r="GK567" s="4">
        <v>98</v>
      </c>
      <c r="GL567" s="4">
        <v>-20</v>
      </c>
    </row>
    <row r="568" spans="192:194" x14ac:dyDescent="0.25">
      <c r="GJ568" s="4">
        <v>554</v>
      </c>
      <c r="GK568" s="4">
        <v>98</v>
      </c>
      <c r="GL568" s="4">
        <v>-20</v>
      </c>
    </row>
    <row r="569" spans="192:194" x14ac:dyDescent="0.25">
      <c r="GJ569" s="4">
        <v>555</v>
      </c>
      <c r="GK569" s="4">
        <v>98</v>
      </c>
      <c r="GL569" s="4">
        <v>-20</v>
      </c>
    </row>
    <row r="570" spans="192:194" x14ac:dyDescent="0.25">
      <c r="GJ570" s="4">
        <v>556</v>
      </c>
      <c r="GK570" s="4">
        <v>98</v>
      </c>
      <c r="GL570" s="4">
        <v>-20</v>
      </c>
    </row>
    <row r="571" spans="192:194" x14ac:dyDescent="0.25">
      <c r="GJ571" s="4">
        <v>557</v>
      </c>
      <c r="GK571" s="4">
        <v>98</v>
      </c>
      <c r="GL571" s="4">
        <v>-20</v>
      </c>
    </row>
    <row r="572" spans="192:194" x14ac:dyDescent="0.25">
      <c r="GJ572" s="4">
        <v>558</v>
      </c>
      <c r="GK572" s="4">
        <v>98</v>
      </c>
      <c r="GL572" s="4">
        <v>-20</v>
      </c>
    </row>
    <row r="573" spans="192:194" x14ac:dyDescent="0.25">
      <c r="GJ573" s="4">
        <v>559</v>
      </c>
      <c r="GK573" s="4">
        <v>98</v>
      </c>
      <c r="GL573" s="4">
        <v>-20</v>
      </c>
    </row>
    <row r="574" spans="192:194" x14ac:dyDescent="0.25">
      <c r="GJ574" s="4">
        <v>560</v>
      </c>
      <c r="GK574" s="4">
        <v>98</v>
      </c>
      <c r="GL574" s="4">
        <v>-20</v>
      </c>
    </row>
    <row r="575" spans="192:194" x14ac:dyDescent="0.25">
      <c r="GJ575" s="4">
        <v>561</v>
      </c>
      <c r="GK575" s="4">
        <v>98</v>
      </c>
      <c r="GL575" s="4">
        <v>-21</v>
      </c>
    </row>
    <row r="576" spans="192:194" x14ac:dyDescent="0.25">
      <c r="GJ576" s="4">
        <v>562</v>
      </c>
      <c r="GK576" s="4">
        <v>98</v>
      </c>
      <c r="GL576" s="4">
        <v>-21</v>
      </c>
    </row>
    <row r="577" spans="192:194" x14ac:dyDescent="0.25">
      <c r="GJ577" s="4">
        <v>563</v>
      </c>
      <c r="GK577" s="4">
        <v>98</v>
      </c>
      <c r="GL577" s="4">
        <v>-21</v>
      </c>
    </row>
    <row r="578" spans="192:194" x14ac:dyDescent="0.25">
      <c r="GJ578" s="4">
        <v>564</v>
      </c>
      <c r="GK578" s="4">
        <v>98</v>
      </c>
      <c r="GL578" s="4">
        <v>-21</v>
      </c>
    </row>
    <row r="579" spans="192:194" x14ac:dyDescent="0.25">
      <c r="GJ579" s="4">
        <v>565</v>
      </c>
      <c r="GK579" s="4">
        <v>98</v>
      </c>
      <c r="GL579" s="4">
        <v>-21</v>
      </c>
    </row>
    <row r="580" spans="192:194" x14ac:dyDescent="0.25">
      <c r="GJ580" s="4">
        <v>566</v>
      </c>
      <c r="GK580" s="4">
        <v>98</v>
      </c>
      <c r="GL580" s="4">
        <v>-21</v>
      </c>
    </row>
    <row r="581" spans="192:194" x14ac:dyDescent="0.25">
      <c r="GJ581" s="4">
        <v>567</v>
      </c>
      <c r="GK581" s="4">
        <v>98</v>
      </c>
      <c r="GL581" s="4">
        <v>-21</v>
      </c>
    </row>
    <row r="582" spans="192:194" x14ac:dyDescent="0.25">
      <c r="GJ582" s="4">
        <v>568</v>
      </c>
      <c r="GK582" s="4">
        <v>98</v>
      </c>
      <c r="GL582" s="4">
        <v>-21</v>
      </c>
    </row>
    <row r="583" spans="192:194" x14ac:dyDescent="0.25">
      <c r="GJ583" s="4">
        <v>569</v>
      </c>
      <c r="GK583" s="4">
        <v>98</v>
      </c>
      <c r="GL583" s="4">
        <v>-22</v>
      </c>
    </row>
    <row r="584" spans="192:194" x14ac:dyDescent="0.25">
      <c r="GJ584" s="4">
        <v>570</v>
      </c>
      <c r="GK584" s="4">
        <v>99</v>
      </c>
      <c r="GL584" s="4">
        <v>-22</v>
      </c>
    </row>
    <row r="585" spans="192:194" x14ac:dyDescent="0.25">
      <c r="GJ585" s="4">
        <v>571</v>
      </c>
      <c r="GK585" s="4">
        <v>99</v>
      </c>
      <c r="GL585" s="4">
        <v>-22</v>
      </c>
    </row>
    <row r="586" spans="192:194" x14ac:dyDescent="0.25">
      <c r="GJ586" s="4">
        <v>572</v>
      </c>
      <c r="GK586" s="4">
        <v>99</v>
      </c>
      <c r="GL586" s="4">
        <v>-22</v>
      </c>
    </row>
    <row r="587" spans="192:194" x14ac:dyDescent="0.25">
      <c r="GJ587" s="4">
        <v>573</v>
      </c>
      <c r="GK587" s="4">
        <v>99</v>
      </c>
      <c r="GL587" s="4">
        <v>-22</v>
      </c>
    </row>
    <row r="588" spans="192:194" x14ac:dyDescent="0.25">
      <c r="GJ588" s="4">
        <v>574</v>
      </c>
      <c r="GK588" s="4">
        <v>99</v>
      </c>
      <c r="GL588" s="4">
        <v>-22</v>
      </c>
    </row>
    <row r="589" spans="192:194" x14ac:dyDescent="0.25">
      <c r="GJ589" s="4">
        <v>575</v>
      </c>
      <c r="GK589" s="4">
        <v>99</v>
      </c>
      <c r="GL589" s="4">
        <v>-22</v>
      </c>
    </row>
    <row r="590" spans="192:194" x14ac:dyDescent="0.25">
      <c r="GJ590" s="4">
        <v>576</v>
      </c>
      <c r="GK590" s="4">
        <v>99</v>
      </c>
      <c r="GL590" s="4">
        <v>-22</v>
      </c>
    </row>
    <row r="591" spans="192:194" x14ac:dyDescent="0.25">
      <c r="GJ591" s="4">
        <v>577</v>
      </c>
      <c r="GK591" s="4">
        <v>99</v>
      </c>
      <c r="GL591" s="4">
        <v>-23</v>
      </c>
    </row>
    <row r="592" spans="192:194" x14ac:dyDescent="0.25">
      <c r="GJ592" s="4">
        <v>578</v>
      </c>
      <c r="GK592" s="4">
        <v>99</v>
      </c>
      <c r="GL592" s="4">
        <v>-23</v>
      </c>
    </row>
    <row r="593" spans="192:194" x14ac:dyDescent="0.25">
      <c r="GJ593" s="4">
        <v>579</v>
      </c>
      <c r="GK593" s="4">
        <v>99</v>
      </c>
      <c r="GL593" s="4">
        <v>-23</v>
      </c>
    </row>
    <row r="594" spans="192:194" x14ac:dyDescent="0.25">
      <c r="GJ594" s="4">
        <v>580</v>
      </c>
      <c r="GK594" s="4">
        <v>100</v>
      </c>
      <c r="GL594" s="4">
        <v>-23</v>
      </c>
    </row>
    <row r="595" spans="192:194" x14ac:dyDescent="0.25">
      <c r="GJ595" s="4">
        <v>581</v>
      </c>
      <c r="GK595" s="4">
        <v>100</v>
      </c>
      <c r="GL595" s="4">
        <v>-23</v>
      </c>
    </row>
    <row r="596" spans="192:194" x14ac:dyDescent="0.25">
      <c r="GJ596" s="4">
        <v>582</v>
      </c>
      <c r="GK596" s="4">
        <v>100</v>
      </c>
      <c r="GL596" s="4">
        <v>-23</v>
      </c>
    </row>
    <row r="597" spans="192:194" x14ac:dyDescent="0.25">
      <c r="GJ597" s="4">
        <v>583</v>
      </c>
      <c r="GK597" s="4">
        <v>100</v>
      </c>
      <c r="GL597" s="4">
        <v>-23</v>
      </c>
    </row>
    <row r="598" spans="192:194" x14ac:dyDescent="0.25">
      <c r="GJ598" s="4">
        <v>584</v>
      </c>
      <c r="GK598" s="4">
        <v>100</v>
      </c>
      <c r="GL598" s="4">
        <v>-23</v>
      </c>
    </row>
    <row r="599" spans="192:194" x14ac:dyDescent="0.25">
      <c r="GJ599" s="4">
        <v>585</v>
      </c>
      <c r="GK599" s="4">
        <v>100</v>
      </c>
      <c r="GL599" s="4">
        <v>-24</v>
      </c>
    </row>
    <row r="600" spans="192:194" x14ac:dyDescent="0.25">
      <c r="GJ600" s="4">
        <v>586</v>
      </c>
      <c r="GK600" s="4">
        <v>100</v>
      </c>
      <c r="GL600" s="4">
        <v>-24</v>
      </c>
    </row>
    <row r="601" spans="192:194" x14ac:dyDescent="0.25">
      <c r="GJ601" s="4">
        <v>587</v>
      </c>
      <c r="GK601" s="4">
        <v>100</v>
      </c>
      <c r="GL601" s="4">
        <v>-24</v>
      </c>
    </row>
    <row r="602" spans="192:194" x14ac:dyDescent="0.25">
      <c r="GJ602" s="4">
        <v>588</v>
      </c>
      <c r="GK602" s="4">
        <v>100</v>
      </c>
      <c r="GL602" s="4">
        <v>-24</v>
      </c>
    </row>
    <row r="603" spans="192:194" x14ac:dyDescent="0.25">
      <c r="GJ603" s="4">
        <v>589</v>
      </c>
      <c r="GK603" s="4">
        <v>100</v>
      </c>
      <c r="GL603" s="4">
        <v>-24</v>
      </c>
    </row>
    <row r="604" spans="192:194" x14ac:dyDescent="0.25">
      <c r="GJ604" s="4">
        <v>590</v>
      </c>
      <c r="GK604" s="4">
        <v>100</v>
      </c>
    </row>
    <row r="605" spans="192:194" x14ac:dyDescent="0.25">
      <c r="GJ605" s="4">
        <v>591</v>
      </c>
      <c r="GK605" s="4">
        <v>100</v>
      </c>
    </row>
    <row r="606" spans="192:194" x14ac:dyDescent="0.25">
      <c r="GJ606" s="4">
        <v>592</v>
      </c>
      <c r="GK606" s="4">
        <v>100</v>
      </c>
    </row>
    <row r="607" spans="192:194" x14ac:dyDescent="0.25">
      <c r="GJ607" s="4">
        <v>593</v>
      </c>
      <c r="GK607" s="4">
        <v>100</v>
      </c>
    </row>
    <row r="608" spans="192:194" x14ac:dyDescent="0.25">
      <c r="GJ608" s="4">
        <v>594</v>
      </c>
      <c r="GK608" s="4">
        <v>100</v>
      </c>
    </row>
    <row r="609" spans="192:193" x14ac:dyDescent="0.25">
      <c r="GJ609" s="4">
        <v>595</v>
      </c>
      <c r="GK609" s="4">
        <v>100</v>
      </c>
    </row>
    <row r="610" spans="192:193" x14ac:dyDescent="0.25">
      <c r="GJ610" s="4">
        <v>596</v>
      </c>
      <c r="GK610" s="4">
        <v>100</v>
      </c>
    </row>
    <row r="611" spans="192:193" x14ac:dyDescent="0.25">
      <c r="GJ611" s="4">
        <v>597</v>
      </c>
      <c r="GK611" s="4">
        <v>100</v>
      </c>
    </row>
    <row r="612" spans="192:193" x14ac:dyDescent="0.25">
      <c r="GJ612" s="4">
        <v>598</v>
      </c>
      <c r="GK612" s="4">
        <v>100</v>
      </c>
    </row>
    <row r="613" spans="192:193" x14ac:dyDescent="0.25">
      <c r="GJ613" s="4">
        <v>599</v>
      </c>
      <c r="GK613" s="4">
        <v>100</v>
      </c>
    </row>
    <row r="614" spans="192:193" x14ac:dyDescent="0.25">
      <c r="GJ614" s="4">
        <v>600</v>
      </c>
      <c r="GK614" s="4">
        <v>100</v>
      </c>
    </row>
  </sheetData>
  <sheetProtection password="92C0" selectLockedCells="1" selectUnlockedCells="1"/>
  <hyperlinks>
    <hyperlink ref="I68" r:id="rId1" xr:uid="{7F066EF7-5E54-4346-AF78-02F30CE3F7BB}"/>
  </hyperlinks>
  <pageMargins left="0.75" right="0.75" top="1" bottom="1" header="0" footer="0"/>
  <pageSetup paperSize="9" orientation="landscape" horizontalDpi="30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05EED-BFE2-4F99-8240-F2EDC1861797}">
  <dimension ref="A1"/>
  <sheetViews>
    <sheetView showGridLines="0" showRowColHeaders="0" showRuler="0" showOutlineSymbols="0" defaultGridColor="0" showWhiteSpace="0" topLeftCell="A5" colorId="0" zoomScale="88" workbookViewId="0">
      <selection activeCell="N37" sqref="N37"/>
    </sheetView>
  </sheetViews>
  <sheetFormatPr baseColWidth="10" defaultColWidth="10.33203125" defaultRowHeight="13.2" x14ac:dyDescent="0.25"/>
  <sheetData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147C-393A-463E-B077-93803D222D9A}">
  <dimension ref="A1"/>
  <sheetViews>
    <sheetView showGridLines="0" showRowColHeaders="0" showRuler="0" showOutlineSymbols="0" defaultGridColor="0" showWhiteSpace="0" colorId="0" zoomScale="88" workbookViewId="0"/>
  </sheetViews>
  <sheetFormatPr baseColWidth="10" defaultColWidth="10.33203125" defaultRowHeight="13.2" x14ac:dyDescent="0.25"/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4E82-D5C3-481C-B87B-F4C9D6008CAB}">
  <dimension ref="A2:J48"/>
  <sheetViews>
    <sheetView topLeftCell="A7" zoomScale="85" workbookViewId="0">
      <selection activeCell="C21" sqref="C21"/>
    </sheetView>
  </sheetViews>
  <sheetFormatPr baseColWidth="10" defaultColWidth="11.44140625" defaultRowHeight="13.2" x14ac:dyDescent="0.25"/>
  <cols>
    <col min="1" max="1" width="9.109375" style="4" customWidth="1"/>
    <col min="2" max="2" width="27" style="4" bestFit="1" customWidth="1"/>
    <col min="3" max="3" width="10" style="4" bestFit="1" customWidth="1"/>
    <col min="4" max="4" width="27.44140625" style="4" customWidth="1"/>
    <col min="5" max="5" width="6.88671875" style="4" customWidth="1"/>
    <col min="6" max="6" width="11.44140625" style="4"/>
    <col min="7" max="7" width="11.5546875" style="4" customWidth="1"/>
    <col min="8" max="16384" width="11.44140625" style="4"/>
  </cols>
  <sheetData>
    <row r="2" spans="1:10" ht="21" x14ac:dyDescent="0.4">
      <c r="B2" s="73" t="s">
        <v>0</v>
      </c>
      <c r="C2" s="74"/>
      <c r="D2" s="74"/>
      <c r="E2" s="74"/>
      <c r="F2" s="74"/>
      <c r="G2" s="74"/>
      <c r="H2" s="74"/>
      <c r="I2" s="75"/>
      <c r="J2" s="10"/>
    </row>
    <row r="3" spans="1:10" ht="18" customHeight="1" x14ac:dyDescent="0.4">
      <c r="B3" s="76" t="s">
        <v>1</v>
      </c>
      <c r="C3" s="76"/>
      <c r="D3" s="76"/>
      <c r="E3" s="76"/>
      <c r="F3" s="76"/>
      <c r="G3" s="76"/>
      <c r="H3" s="76"/>
      <c r="I3" s="76"/>
    </row>
    <row r="4" spans="1:10" ht="15" hidden="1" x14ac:dyDescent="0.25">
      <c r="D4" s="5" t="s">
        <v>141</v>
      </c>
      <c r="E4" s="77" t="s">
        <v>142</v>
      </c>
      <c r="F4" s="77"/>
      <c r="G4" s="77"/>
      <c r="H4" s="77"/>
    </row>
    <row r="6" spans="1:10" x14ac:dyDescent="0.25">
      <c r="A6" s="6" t="str">
        <f>'DATOS Y RESPUESTAS'!A4</f>
        <v>Nombre:</v>
      </c>
      <c r="B6" s="4" t="str">
        <f>'DATOS Y RESPUESTAS'!B4</f>
        <v xml:space="preserve">NICOLE AIXA </v>
      </c>
      <c r="C6" s="6" t="str">
        <f>'DATOS Y RESPUESTAS'!A6</f>
        <v>Sexo:</v>
      </c>
      <c r="D6" s="4" t="str">
        <f>'DATOS Y RESPUESTAS'!B6</f>
        <v>FEMENINO</v>
      </c>
    </row>
    <row r="7" spans="1:10" x14ac:dyDescent="0.25">
      <c r="A7" s="6" t="str">
        <f>'DATOS Y RESPUESTAS'!A5</f>
        <v>Apellidos:</v>
      </c>
      <c r="B7" s="4" t="str">
        <f>'DATOS Y RESPUESTAS'!B5</f>
        <v>CONTRERAS ZURITA</v>
      </c>
      <c r="C7" s="6" t="str">
        <f>'DATOS Y RESPUESTAS'!A7</f>
        <v>Edad:</v>
      </c>
      <c r="D7" s="7">
        <f>'DATOS Y RESPUESTAS'!B7</f>
        <v>10</v>
      </c>
    </row>
    <row r="8" spans="1:10" x14ac:dyDescent="0.25">
      <c r="A8" s="6" t="str">
        <f>'DATOS Y RESPUESTAS'!A9</f>
        <v>Evaluador:</v>
      </c>
      <c r="B8" s="4" t="str">
        <f>'DATOS Y RESPUESTAS'!B9</f>
        <v>GARCIA</v>
      </c>
      <c r="C8" s="6" t="str">
        <f>'DATOS Y RESPUESTAS'!A8</f>
        <v>Institución:</v>
      </c>
      <c r="D8" s="4" t="str">
        <f>'DATOS Y RESPUESTAS'!B8</f>
        <v>VIDA PLENA</v>
      </c>
    </row>
    <row r="9" spans="1:10" x14ac:dyDescent="0.25">
      <c r="A9" s="6" t="str">
        <f>'DATOS Y RESPUESTAS'!A10</f>
        <v>Fecha:</v>
      </c>
      <c r="B9" s="4" t="str">
        <f>'DATOS Y RESPUESTAS'!B10</f>
        <v>08 de agosto 2025</v>
      </c>
    </row>
    <row r="10" spans="1:10" hidden="1" x14ac:dyDescent="0.25"/>
    <row r="11" spans="1:10" hidden="1" x14ac:dyDescent="0.25"/>
    <row r="12" spans="1:10" hidden="1" x14ac:dyDescent="0.25"/>
    <row r="14" spans="1:10" hidden="1" x14ac:dyDescent="0.25">
      <c r="A14" s="4" t="s">
        <v>143</v>
      </c>
    </row>
    <row r="15" spans="1:10" hidden="1" x14ac:dyDescent="0.25"/>
    <row r="16" spans="1:10" hidden="1" x14ac:dyDescent="0.25">
      <c r="B16" s="4" t="str">
        <f>RESULTADOS!I100</f>
        <v>PROTOCOLO VALIDO</v>
      </c>
    </row>
    <row r="17" spans="2:4" s="3" customFormat="1" x14ac:dyDescent="0.25">
      <c r="B17" s="8" t="str">
        <f>RESULTADOS!I69</f>
        <v>ESCALAS</v>
      </c>
      <c r="C17" s="2" t="s">
        <v>51</v>
      </c>
      <c r="D17" s="2" t="s">
        <v>144</v>
      </c>
    </row>
    <row r="18" spans="2:4" s="3" customFormat="1" hidden="1" x14ac:dyDescent="0.25">
      <c r="B18" s="8" t="str">
        <f>RESULTADOS!I70</f>
        <v>X-Transparencia</v>
      </c>
      <c r="C18" s="2">
        <f>RESULTADOS!AU70</f>
        <v>37</v>
      </c>
      <c r="D18" s="9"/>
    </row>
    <row r="19" spans="2:4" s="3" customFormat="1" hidden="1" x14ac:dyDescent="0.25">
      <c r="B19" s="8" t="str">
        <f>RESULTADOS!I71</f>
        <v>Y-Deseabilidad</v>
      </c>
      <c r="C19" s="2">
        <f>RESULTADOS!AU71</f>
        <v>41</v>
      </c>
      <c r="D19" s="9"/>
    </row>
    <row r="20" spans="2:4" s="3" customFormat="1" hidden="1" x14ac:dyDescent="0.25">
      <c r="B20" s="8" t="str">
        <f>RESULTADOS!I72</f>
        <v>Z-Alteración</v>
      </c>
      <c r="C20" s="2">
        <f>RESULTADOS!AU72</f>
        <v>34</v>
      </c>
      <c r="D20" s="9"/>
    </row>
    <row r="21" spans="2:4" s="3" customFormat="1" x14ac:dyDescent="0.25">
      <c r="B21" s="8" t="str">
        <f>RESULTADOS!I73</f>
        <v>1-Introvertido</v>
      </c>
      <c r="C21" s="2">
        <f>RESULTADOS!AU73</f>
        <v>26</v>
      </c>
      <c r="D21" s="2" t="str">
        <f>RESULTADOS!AV73</f>
        <v>Indicador nulo</v>
      </c>
    </row>
    <row r="22" spans="2:4" s="3" customFormat="1" x14ac:dyDescent="0.25">
      <c r="B22" s="8" t="str">
        <f>RESULTADOS!I74</f>
        <v>2A-Inhibido</v>
      </c>
      <c r="C22" s="2">
        <f>RESULTADOS!AU74</f>
        <v>20</v>
      </c>
      <c r="D22" s="2" t="str">
        <f>RESULTADOS!AV74</f>
        <v>Indicador nulo</v>
      </c>
    </row>
    <row r="23" spans="2:4" s="3" customFormat="1" x14ac:dyDescent="0.25">
      <c r="B23" s="8" t="str">
        <f>RESULTADOS!I75</f>
        <v>2B-Pesimista</v>
      </c>
      <c r="C23" s="2">
        <f>RESULTADOS!AU75</f>
        <v>37</v>
      </c>
      <c r="D23" s="2" t="str">
        <f>RESULTADOS!AV75</f>
        <v>Indicador nulo</v>
      </c>
    </row>
    <row r="24" spans="2:4" s="3" customFormat="1" x14ac:dyDescent="0.25">
      <c r="B24" s="8" t="str">
        <f>RESULTADOS!I76</f>
        <v>3-Sumiso</v>
      </c>
      <c r="C24" s="2">
        <f>RESULTADOS!AU76</f>
        <v>42</v>
      </c>
      <c r="D24" s="2" t="str">
        <f>RESULTADOS!AV76</f>
        <v>Indicador nulo</v>
      </c>
    </row>
    <row r="25" spans="2:4" s="3" customFormat="1" x14ac:dyDescent="0.25">
      <c r="B25" s="8" t="str">
        <f>RESULTADOS!I77</f>
        <v>4-Histriónico</v>
      </c>
      <c r="C25" s="2">
        <f>RESULTADOS!AU77</f>
        <v>72</v>
      </c>
      <c r="D25" s="2" t="str">
        <f>RESULTADOS!AV77</f>
        <v>Tema ligeramente problemático</v>
      </c>
    </row>
    <row r="26" spans="2:4" s="3" customFormat="1" x14ac:dyDescent="0.25">
      <c r="B26" s="8" t="str">
        <f>RESULTADOS!I78</f>
        <v>5-Egocéntrico</v>
      </c>
      <c r="C26" s="2">
        <f>RESULTADOS!AU78</f>
        <v>56</v>
      </c>
      <c r="D26" s="2" t="str">
        <f>RESULTADOS!AV78</f>
        <v>Indicador nulo</v>
      </c>
    </row>
    <row r="27" spans="2:4" s="3" customFormat="1" x14ac:dyDescent="0.25">
      <c r="B27" s="8" t="str">
        <f>RESULTADOS!I79</f>
        <v>6A-Rebelde</v>
      </c>
      <c r="C27" s="2">
        <f>RESULTADOS!AU79</f>
        <v>49</v>
      </c>
      <c r="D27" s="2" t="str">
        <f>RESULTADOS!AV79</f>
        <v>Indicador nulo</v>
      </c>
    </row>
    <row r="28" spans="2:4" s="3" customFormat="1" x14ac:dyDescent="0.25">
      <c r="B28" s="8" t="str">
        <f>RESULTADOS!I80</f>
        <v>6B-Rudo</v>
      </c>
      <c r="C28" s="2">
        <f>RESULTADOS!AU80</f>
        <v>45</v>
      </c>
      <c r="D28" s="2" t="str">
        <f>RESULTADOS!AV80</f>
        <v>Indicador nulo</v>
      </c>
    </row>
    <row r="29" spans="2:4" s="3" customFormat="1" x14ac:dyDescent="0.25">
      <c r="B29" s="8" t="str">
        <f>RESULTADOS!I81</f>
        <v>7-Conformista</v>
      </c>
      <c r="C29" s="2">
        <f>RESULTADOS!AU81</f>
        <v>54</v>
      </c>
      <c r="D29" s="2" t="str">
        <f>RESULTADOS!AV81</f>
        <v>Indicador nulo</v>
      </c>
    </row>
    <row r="30" spans="2:4" s="3" customFormat="1" x14ac:dyDescent="0.25">
      <c r="B30" s="8" t="str">
        <f>RESULTADOS!I82</f>
        <v>8A-Oposicionista</v>
      </c>
      <c r="C30" s="2">
        <f>RESULTADOS!AU82</f>
        <v>47</v>
      </c>
      <c r="D30" s="2" t="str">
        <f>RESULTADOS!AV82</f>
        <v>Indicador nulo</v>
      </c>
    </row>
    <row r="31" spans="2:4" s="3" customFormat="1" x14ac:dyDescent="0.25">
      <c r="B31" s="8" t="str">
        <f>RESULTADOS!I83</f>
        <v>8B-Autopunitivo</v>
      </c>
      <c r="C31" s="2">
        <f>RESULTADOS!AU83</f>
        <v>38</v>
      </c>
      <c r="D31" s="2" t="str">
        <f>RESULTADOS!AV83</f>
        <v>Indicador nulo</v>
      </c>
    </row>
    <row r="32" spans="2:4" s="3" customFormat="1" x14ac:dyDescent="0.25">
      <c r="B32" s="8" t="str">
        <f>RESULTADOS!I84</f>
        <v>9-Tendencia Límite</v>
      </c>
      <c r="C32" s="2">
        <f>RESULTADOS!AU84</f>
        <v>40</v>
      </c>
      <c r="D32" s="2" t="str">
        <f>RESULTADOS!AV84</f>
        <v>Indicador nulo</v>
      </c>
    </row>
    <row r="33" spans="2:4" s="3" customFormat="1" x14ac:dyDescent="0.25">
      <c r="B33" s="8" t="str">
        <f>B17</f>
        <v>ESCALAS</v>
      </c>
      <c r="C33" s="2" t="s">
        <v>51</v>
      </c>
      <c r="D33" s="2"/>
    </row>
    <row r="34" spans="2:4" s="3" customFormat="1" x14ac:dyDescent="0.25">
      <c r="B34" s="8" t="str">
        <f>RESULTADOS!I85</f>
        <v>A-Difusión de la Identidad</v>
      </c>
      <c r="C34" s="2">
        <f>RESULTADOS!AU85</f>
        <v>31</v>
      </c>
      <c r="D34" s="2" t="str">
        <f>RESULTADOS!AV85</f>
        <v>Indicador nulo</v>
      </c>
    </row>
    <row r="35" spans="2:4" x14ac:dyDescent="0.25">
      <c r="B35" s="8" t="str">
        <f>RESULTADOS!I86</f>
        <v>B-Desvalorización de sí mismo.</v>
      </c>
      <c r="C35" s="2">
        <f>RESULTADOS!AU86</f>
        <v>33</v>
      </c>
      <c r="D35" s="2" t="str">
        <f>RESULTADOS!AV86</f>
        <v>Indicador nulo</v>
      </c>
    </row>
    <row r="36" spans="2:4" x14ac:dyDescent="0.25">
      <c r="B36" s="8" t="str">
        <f>RESULTADOS!I87</f>
        <v>C-Desagrado por propio cuerpo</v>
      </c>
      <c r="C36" s="2">
        <f>RESULTADOS!AU87</f>
        <v>46</v>
      </c>
      <c r="D36" s="2" t="str">
        <f>RESULTADOS!AV87</f>
        <v>Indicador nulo</v>
      </c>
    </row>
    <row r="37" spans="2:4" x14ac:dyDescent="0.25">
      <c r="B37" s="8" t="str">
        <f>RESULTADOS!I88</f>
        <v>D-Incomodidad respecto al sexo</v>
      </c>
      <c r="C37" s="2">
        <f>RESULTADOS!AU88</f>
        <v>74</v>
      </c>
      <c r="D37" s="2" t="str">
        <f>RESULTADOS!AV88</f>
        <v>Tema ligeramente problemático</v>
      </c>
    </row>
    <row r="38" spans="2:4" x14ac:dyDescent="0.25">
      <c r="B38" s="8" t="str">
        <f>RESULTADOS!I89</f>
        <v>E-Inseguridad con los iguales</v>
      </c>
      <c r="C38" s="2">
        <f>RESULTADOS!AU89</f>
        <v>48</v>
      </c>
      <c r="D38" s="2" t="str">
        <f>RESULTADOS!AV89</f>
        <v>Indicador nulo</v>
      </c>
    </row>
    <row r="39" spans="2:4" x14ac:dyDescent="0.25">
      <c r="B39" s="8" t="str">
        <f>RESULTADOS!I90</f>
        <v>F-Insensibiidad social</v>
      </c>
      <c r="C39" s="2">
        <f>RESULTADOS!AU90</f>
        <v>81</v>
      </c>
      <c r="D39" s="2" t="str">
        <f>RESULTADOS!AV90</f>
        <v>Área problemática</v>
      </c>
    </row>
    <row r="40" spans="2:4" x14ac:dyDescent="0.25">
      <c r="B40" s="8" t="str">
        <f>RESULTADOS!I91</f>
        <v>G-Discordancia Familiar</v>
      </c>
      <c r="C40" s="2">
        <f>RESULTADOS!AU91</f>
        <v>43</v>
      </c>
      <c r="D40" s="2" t="str">
        <f>RESULTADOS!AV91</f>
        <v>Indicador nulo</v>
      </c>
    </row>
    <row r="41" spans="2:4" x14ac:dyDescent="0.25">
      <c r="B41" s="8" t="str">
        <f>RESULTADOS!I92</f>
        <v>H-Abusos en la infancia</v>
      </c>
      <c r="C41" s="2">
        <f>RESULTADOS!AU92</f>
        <v>78</v>
      </c>
      <c r="D41" s="2" t="str">
        <f>RESULTADOS!AV92</f>
        <v>Área problemática</v>
      </c>
    </row>
    <row r="42" spans="2:4" x14ac:dyDescent="0.25">
      <c r="B42" s="8" t="str">
        <f>RESULTADOS!I93</f>
        <v>AA-Trastornos de la Alimentación</v>
      </c>
      <c r="C42" s="2">
        <f>RESULTADOS!AU93</f>
        <v>50</v>
      </c>
      <c r="D42" s="2" t="str">
        <f>RESULTADOS!AV93</f>
        <v>Indicador nulo</v>
      </c>
    </row>
    <row r="43" spans="2:4" x14ac:dyDescent="0.25">
      <c r="B43" s="8" t="str">
        <f>RESULTADOS!I94</f>
        <v>BB-Inclinación abuso sustancias</v>
      </c>
      <c r="C43" s="2">
        <f>RESULTADOS!AU94</f>
        <v>64</v>
      </c>
      <c r="D43" s="2" t="str">
        <f>RESULTADOS!AV94</f>
        <v>Tema ligeramente problemático</v>
      </c>
    </row>
    <row r="44" spans="2:4" x14ac:dyDescent="0.25">
      <c r="B44" s="8" t="str">
        <f>RESULTADOS!I95</f>
        <v>CC-Predisposición a la delincuencia</v>
      </c>
      <c r="C44" s="2">
        <f>RESULTADOS!AU95</f>
        <v>79</v>
      </c>
      <c r="D44" s="2" t="str">
        <f>RESULTADOS!AV95</f>
        <v>Área problemática</v>
      </c>
    </row>
    <row r="45" spans="2:4" x14ac:dyDescent="0.25">
      <c r="B45" s="8" t="str">
        <f>RESULTADOS!I96</f>
        <v>DD-Propensión a la impulsividad</v>
      </c>
      <c r="C45" s="2">
        <f>RESULTADOS!AU96</f>
        <v>53</v>
      </c>
      <c r="D45" s="2" t="str">
        <f>RESULTADOS!AV96</f>
        <v>Indicador nulo</v>
      </c>
    </row>
    <row r="46" spans="2:4" x14ac:dyDescent="0.25">
      <c r="B46" s="8" t="str">
        <f>RESULTADOS!I97</f>
        <v>EE-Sentimientos de ansiedad</v>
      </c>
      <c r="C46" s="2">
        <f>RESULTADOS!AU97</f>
        <v>23</v>
      </c>
      <c r="D46" s="2" t="str">
        <f>RESULTADOS!AV97</f>
        <v>Indicador nulo</v>
      </c>
    </row>
    <row r="47" spans="2:4" x14ac:dyDescent="0.25">
      <c r="B47" s="8" t="str">
        <f>RESULTADOS!I98</f>
        <v>FF-Afecto depresivo</v>
      </c>
      <c r="C47" s="2">
        <f>RESULTADOS!AU98</f>
        <v>15</v>
      </c>
      <c r="D47" s="2" t="str">
        <f>RESULTADOS!AV98</f>
        <v>Indicador nulo</v>
      </c>
    </row>
    <row r="48" spans="2:4" x14ac:dyDescent="0.25">
      <c r="B48" s="8" t="str">
        <f>RESULTADOS!I99</f>
        <v>GG-Tendencia al suicidio</v>
      </c>
      <c r="C48" s="2">
        <f>RESULTADOS!AU99</f>
        <v>43</v>
      </c>
      <c r="D48" s="2" t="str">
        <f>RESULTADOS!AV99</f>
        <v>Indicador nulo</v>
      </c>
    </row>
  </sheetData>
  <sheetProtection password="92C0" selectLockedCells="1" selectUnlockedCells="1"/>
  <mergeCells count="3">
    <mergeCell ref="B2:I2"/>
    <mergeCell ref="B3:I3"/>
    <mergeCell ref="E4:H4"/>
  </mergeCells>
  <hyperlinks>
    <hyperlink ref="E4:H4" r:id="rId1" display="Sergio Alexis Dominguez Lara" xr:uid="{A48751DE-B35B-459D-B9A5-60039474CAAB}"/>
  </hyperlinks>
  <pageMargins left="0.25" right="0.19" top="1" bottom="0.2" header="0" footer="0"/>
  <pageSetup paperSize="9" orientation="landscape" horizontalDpi="300" verticalDpi="0" copies="0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887D3-6D34-4746-9FF0-9DC829AFC4CC}">
  <dimension ref="A1:AF2"/>
  <sheetViews>
    <sheetView workbookViewId="0">
      <selection activeCell="C2" sqref="C2"/>
    </sheetView>
  </sheetViews>
  <sheetFormatPr baseColWidth="10" defaultColWidth="11.44140625" defaultRowHeight="13.2" x14ac:dyDescent="0.25"/>
  <cols>
    <col min="1" max="1" width="6.109375" style="1" bestFit="1" customWidth="1"/>
    <col min="2" max="2" width="10.6640625" style="1" bestFit="1" customWidth="1"/>
    <col min="3" max="3" width="14.109375" style="1" bestFit="1" customWidth="1"/>
    <col min="4" max="4" width="13.44140625" style="1" bestFit="1" customWidth="1"/>
    <col min="5" max="5" width="10.88671875" style="1" bestFit="1" customWidth="1"/>
    <col min="6" max="6" width="11.44140625" style="1"/>
    <col min="7" max="7" width="10.109375" style="1" bestFit="1" customWidth="1"/>
    <col min="8" max="8" width="12.109375" style="1" bestFit="1" customWidth="1"/>
    <col min="9" max="9" width="8.88671875" style="1" bestFit="1" customWidth="1"/>
    <col min="10" max="10" width="11.33203125" style="1" bestFit="1" customWidth="1"/>
    <col min="11" max="11" width="12.44140625" style="1" bestFit="1" customWidth="1"/>
    <col min="12" max="12" width="10.5546875" style="1" bestFit="1" customWidth="1"/>
    <col min="13" max="13" width="8.109375" style="1" bestFit="1" customWidth="1"/>
    <col min="14" max="14" width="12.44140625" style="1" bestFit="1" customWidth="1"/>
    <col min="15" max="15" width="15.109375" style="1" bestFit="1" customWidth="1"/>
    <col min="16" max="16" width="13.88671875" style="1" bestFit="1" customWidth="1"/>
    <col min="17" max="17" width="16.6640625" style="1" bestFit="1" customWidth="1"/>
    <col min="18" max="18" width="22.33203125" style="1" bestFit="1" customWidth="1"/>
    <col min="19" max="19" width="27.44140625" style="1" bestFit="1" customWidth="1"/>
    <col min="20" max="20" width="27" style="1" bestFit="1" customWidth="1"/>
    <col min="21" max="21" width="28" style="1" bestFit="1" customWidth="1"/>
    <col min="22" max="22" width="25.5546875" style="1" bestFit="1" customWidth="1"/>
    <col min="23" max="23" width="19" style="1" bestFit="1" customWidth="1"/>
    <col min="24" max="24" width="21" style="1" bestFit="1" customWidth="1"/>
    <col min="25" max="25" width="20.6640625" style="1" bestFit="1" customWidth="1"/>
    <col min="26" max="26" width="29.109375" style="1" bestFit="1" customWidth="1"/>
    <col min="27" max="27" width="28.44140625" style="1" bestFit="1" customWidth="1"/>
    <col min="28" max="28" width="31.109375" style="1" bestFit="1" customWidth="1"/>
    <col min="29" max="29" width="28" style="1" bestFit="1" customWidth="1"/>
    <col min="30" max="30" width="25.88671875" style="1" bestFit="1" customWidth="1"/>
    <col min="31" max="31" width="17.5546875" style="1" bestFit="1" customWidth="1"/>
    <col min="32" max="32" width="22" style="1" bestFit="1" customWidth="1"/>
    <col min="33" max="16384" width="11.44140625" style="1"/>
  </cols>
  <sheetData>
    <row r="1" spans="1:32" x14ac:dyDescent="0.25">
      <c r="A1" s="2" t="s">
        <v>145</v>
      </c>
      <c r="B1" s="2" t="s">
        <v>146</v>
      </c>
      <c r="C1" s="2" t="str">
        <f>RESULTADOS!I70</f>
        <v>X-Transparencia</v>
      </c>
      <c r="D1" s="2" t="str">
        <f>RESULTADOS!I71</f>
        <v>Y-Deseabilidad</v>
      </c>
      <c r="E1" s="2" t="str">
        <f>RESULTADOS!I72</f>
        <v>Z-Alteración</v>
      </c>
      <c r="F1" s="2" t="str">
        <f>RESULTADOS!I73</f>
        <v>1-Introvertido</v>
      </c>
      <c r="G1" s="2" t="str">
        <f>RESULTADOS!I74</f>
        <v>2A-Inhibido</v>
      </c>
      <c r="H1" s="2" t="str">
        <f>RESULTADOS!I75</f>
        <v>2B-Pesimista</v>
      </c>
      <c r="I1" s="2" t="str">
        <f>RESULTADOS!I76</f>
        <v>3-Sumiso</v>
      </c>
      <c r="J1" s="2" t="str">
        <f>RESULTADOS!I77</f>
        <v>4-Histriónico</v>
      </c>
      <c r="K1" s="2" t="str">
        <f>RESULTADOS!I78</f>
        <v>5-Egocéntrico</v>
      </c>
      <c r="L1" s="2" t="str">
        <f>RESULTADOS!I79</f>
        <v>6A-Rebelde</v>
      </c>
      <c r="M1" s="2" t="str">
        <f>RESULTADOS!I80</f>
        <v>6B-Rudo</v>
      </c>
      <c r="N1" s="2" t="str">
        <f>RESULTADOS!I81</f>
        <v>7-Conformista</v>
      </c>
      <c r="O1" s="2" t="str">
        <f>RESULTADOS!I82</f>
        <v>8A-Oposicionista</v>
      </c>
      <c r="P1" s="2" t="str">
        <f>RESULTADOS!I83</f>
        <v>8B-Autopunitivo</v>
      </c>
      <c r="Q1" s="2" t="str">
        <f>RESULTADOS!I84</f>
        <v>9-Tendencia Límite</v>
      </c>
      <c r="R1" s="2" t="str">
        <f>RESULTADOS!I85</f>
        <v>A-Difusión de la Identidad</v>
      </c>
      <c r="S1" s="2" t="str">
        <f>RESULTADOS!I86</f>
        <v>B-Desvalorización de sí mismo.</v>
      </c>
      <c r="T1" s="2" t="str">
        <f>RESULTADOS!I87</f>
        <v>C-Desagrado por propio cuerpo</v>
      </c>
      <c r="U1" s="2" t="str">
        <f>RESULTADOS!I88</f>
        <v>D-Incomodidad respecto al sexo</v>
      </c>
      <c r="V1" s="2" t="str">
        <f>RESULTADOS!I89</f>
        <v>E-Inseguridad con los iguales</v>
      </c>
      <c r="W1" s="2" t="str">
        <f>RESULTADOS!I90</f>
        <v>F-Insensibiidad social</v>
      </c>
      <c r="X1" s="2" t="str">
        <f>RESULTADOS!I91</f>
        <v>G-Discordancia Familiar</v>
      </c>
      <c r="Y1" s="2" t="str">
        <f>RESULTADOS!I92</f>
        <v>H-Abusos en la infancia</v>
      </c>
      <c r="Z1" s="2" t="str">
        <f>RESULTADOS!I93</f>
        <v>AA-Trastornos de la Alimentación</v>
      </c>
      <c r="AA1" s="2" t="str">
        <f>RESULTADOS!I94</f>
        <v>BB-Inclinación abuso sustancias</v>
      </c>
      <c r="AB1" s="2" t="str">
        <f>RESULTADOS!I95</f>
        <v>CC-Predisposición a la delincuencia</v>
      </c>
      <c r="AC1" s="2" t="str">
        <f>RESULTADOS!I96</f>
        <v>DD-Propensión a la impulsividad</v>
      </c>
      <c r="AD1" s="2" t="str">
        <f>RESULTADOS!I97</f>
        <v>EE-Sentimientos de ansiedad</v>
      </c>
      <c r="AE1" s="2" t="str">
        <f>RESULTADOS!I98</f>
        <v>FF-Afecto depresivo</v>
      </c>
      <c r="AF1" s="2" t="str">
        <f>RESULTADOS!I99</f>
        <v>GG-Tendencia al suicidio</v>
      </c>
    </row>
    <row r="2" spans="1:32" x14ac:dyDescent="0.25">
      <c r="A2" s="1">
        <f>'DATOS Y RESPUESTAS'!B7</f>
        <v>10</v>
      </c>
      <c r="B2" s="1" t="str">
        <f>'DATOS Y RESPUESTAS'!B6</f>
        <v>FEMENINO</v>
      </c>
      <c r="C2" s="1">
        <f>RESULTADOS!N70</f>
        <v>278</v>
      </c>
      <c r="D2" s="1">
        <f>RESULTADOS!N71</f>
        <v>8</v>
      </c>
      <c r="E2" s="1">
        <f>RESULTADOS!N72</f>
        <v>2</v>
      </c>
      <c r="F2" s="1">
        <f>RESULTADOS!N73</f>
        <v>18</v>
      </c>
      <c r="G2" s="1">
        <f>RESULTADOS!N74</f>
        <v>15</v>
      </c>
      <c r="H2" s="1">
        <f>RESULTADOS!N75</f>
        <v>10</v>
      </c>
      <c r="I2" s="1">
        <f>RESULTADOS!N76</f>
        <v>49</v>
      </c>
      <c r="J2" s="1">
        <f>RESULTADOS!N77</f>
        <v>40</v>
      </c>
      <c r="K2" s="1">
        <f>RESULTADOS!N78</f>
        <v>27</v>
      </c>
      <c r="L2" s="1">
        <f>RESULTADOS!N79</f>
        <v>24</v>
      </c>
      <c r="M2" s="1">
        <f>RESULTADOS!N80</f>
        <v>7</v>
      </c>
      <c r="N2" s="1">
        <f>RESULTADOS!N81</f>
        <v>46</v>
      </c>
      <c r="O2" s="1">
        <f>RESULTADOS!N82</f>
        <v>23</v>
      </c>
      <c r="P2" s="1">
        <f>RESULTADOS!N83</f>
        <v>19</v>
      </c>
      <c r="Q2" s="1">
        <f>RESULTADOS!N84</f>
        <v>12</v>
      </c>
      <c r="R2" s="1">
        <f>RESULTADOS!N85</f>
        <v>11</v>
      </c>
      <c r="S2" s="1">
        <f>RESULTADOS!N86</f>
        <v>17</v>
      </c>
      <c r="T2" s="1">
        <f>RESULTADOS!N87</f>
        <v>11</v>
      </c>
      <c r="U2" s="1">
        <f>RESULTADOS!N88</f>
        <v>40</v>
      </c>
      <c r="V2" s="1">
        <f>RESULTADOS!N89</f>
        <v>9</v>
      </c>
      <c r="W2" s="1">
        <f>RESULTADOS!N90</f>
        <v>28</v>
      </c>
      <c r="X2" s="1">
        <f>RESULTADOS!N91</f>
        <v>12</v>
      </c>
      <c r="Y2" s="1">
        <f>RESULTADOS!N92</f>
        <v>20</v>
      </c>
      <c r="Z2" s="1">
        <f>RESULTADOS!N93</f>
        <v>15</v>
      </c>
      <c r="AA2" s="1">
        <f>RESULTADOS!N94</f>
        <v>15</v>
      </c>
      <c r="AB2" s="1">
        <f>RESULTADOS!N95</f>
        <v>26</v>
      </c>
      <c r="AC2" s="1">
        <f>RESULTADOS!N96</f>
        <v>14</v>
      </c>
      <c r="AD2" s="1">
        <f>RESULTADOS!N97</f>
        <v>30</v>
      </c>
      <c r="AE2" s="1">
        <f>RESULTADOS!N98</f>
        <v>9</v>
      </c>
      <c r="AF2" s="1">
        <f>RESULTADOS!N99</f>
        <v>7</v>
      </c>
    </row>
  </sheetData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1" master="" otherUserPermission="visible"/>
  <rangeList sheetStid="6" master="" otherUserPermission="visible"/>
  <rangeList sheetStid="7" master="" otherUserPermission="visible"/>
  <rangeList sheetStid="8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Y RESPUESTAS</vt:lpstr>
      <vt:lpstr>RESULTADOS</vt:lpstr>
      <vt:lpstr>PERFIL I</vt:lpstr>
      <vt:lpstr>PERFIL II</vt:lpstr>
      <vt:lpstr>REPORTE</vt:lpstr>
      <vt:lpstr>BASE DE DATOS</vt:lpstr>
    </vt:vector>
  </TitlesOfParts>
  <Company>Casa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Dominguez Lara</dc:creator>
  <cp:lastModifiedBy>EDWIN OSWALDO ROMAN LEDEZMA</cp:lastModifiedBy>
  <cp:lastPrinted>2011-06-29T22:46:54Z</cp:lastPrinted>
  <dcterms:created xsi:type="dcterms:W3CDTF">2004-01-02T01:08:44Z</dcterms:created>
  <dcterms:modified xsi:type="dcterms:W3CDTF">2026-01-13T18:59:02Z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369A1278D537482CA70D92227FDC7DE6_13</vt:lpwstr>
  </property>
  <property fmtid="{D5CDD505-2E9C-101B-9397-08002B2CF9AE}" pid="3" name="KSOProductBuildVer">
    <vt:lpwstr>3082-12.2.0.23196</vt:lpwstr>
  </property>
</Properties>
</file>